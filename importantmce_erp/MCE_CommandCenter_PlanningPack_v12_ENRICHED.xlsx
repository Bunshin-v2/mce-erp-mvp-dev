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6b99ad4fa04c79" /></Relationships>
</file>

<file path=xl/workbook.xml><?xml version="1.0" encoding="utf-8"?>
<x:workbook xmlns:x="http://schemas.openxmlformats.org/spreadsheetml/2006/main">
  <x:sheets>
    <x:sheet xmlns:r="http://schemas.openxmlformats.org/officeDocument/2006/relationships" name="README" sheetId="1" r:id="R876a59c7cc774daf"/>
    <x:sheet xmlns:r="http://schemas.openxmlformats.org/officeDocument/2006/relationships" name="Uncertainty_Log" sheetId="2" r:id="Rc64a63df062a4f19"/>
    <x:sheet xmlns:r="http://schemas.openxmlformats.org/officeDocument/2006/relationships" name="Assumptions_Log" sheetId="3" r:id="Rb22ff6ed79cf46d3"/>
    <x:sheet xmlns:r="http://schemas.openxmlformats.org/officeDocument/2006/relationships" name="Requirements_Checklist" sheetId="4" r:id="R46f6a65a92c341af"/>
    <x:sheet xmlns:r="http://schemas.openxmlformats.org/officeDocument/2006/relationships" name="Document_Taxonomy" sheetId="5" r:id="Rb65e378c43b4426f"/>
    <x:sheet xmlns:r="http://schemas.openxmlformats.org/officeDocument/2006/relationships" name="(X) TBD| Potential_Plan" sheetId="6" r:id="R635523c87f664098"/>
    <x:sheet xmlns:r="http://schemas.openxmlformats.org/officeDocument/2006/relationships" name="Prompt_Library_Index" sheetId="7" r:id="Rbbb81d85721a4445"/>
    <x:sheet xmlns:r="http://schemas.openxmlformats.org/officeDocument/2006/relationships" name="Compliance_Control_Framework" sheetId="8" r:id="Rd62cc894828742c9"/>
    <x:sheet xmlns:r="http://schemas.openxmlformats.org/officeDocument/2006/relationships" name="Enums" sheetId="9" r:id="R6f64114d8b5f4665"/>
    <x:sheet xmlns:r="http://schemas.openxmlformats.org/officeDocument/2006/relationships" name="Compliance_Summary" sheetId="10" r:id="Rf811288ede1d4912"/>
    <x:sheet xmlns:r="http://schemas.openxmlformats.org/officeDocument/2006/relationships" name="Sheet_Grades" sheetId="11" r:id="R9f9374716f004fd6"/>
    <x:sheet xmlns:r="http://schemas.openxmlformats.org/officeDocument/2006/relationships" name="Uncertainty_Log_Reviewed" sheetId="12" r:id="Rd3df57c98d4a43e1"/>
    <x:sheet xmlns:r="http://schemas.openxmlformats.org/officeDocument/2006/relationships" name="Uncertainty_Action_Queue" sheetId="13" r:id="R74ef3678a7af4bc6"/>
    <x:sheet xmlns:r="http://schemas.openxmlformats.org/officeDocument/2006/relationships" name="Compliance_Control_Autofill" sheetId="14" r:id="Rc4ea9aa7db124fb9"/>
    <x:sheet xmlns:r="http://schemas.openxmlformats.org/officeDocument/2006/relationships" name="Workflow_Diagrams" sheetId="15" r:id="Rba695bd98b3f48f7"/>
    <x:sheet xmlns:r="http://schemas.openxmlformats.org/officeDocument/2006/relationships" name="Figma_Component_Map" sheetId="16" r:id="R0d14cff794e54359"/>
  </x:sheets>
  <x:definedNames>
    <x:definedName name="_xlnm._FilterDatabase" localSheetId="7" hidden="1">'Compliance_Control_Framework'!$A$1:$M$61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4">
    <x:font>
      <x:sz val="11"/>
      <x:color theme="1"/>
      <x:name val="Calibri"/>
      <x:family val="2"/>
      <x:scheme val="minor"/>
    </x:font>
    <x:font>
      <x:b/>
      <x:sz val="11"/>
      <x:name val="Calibri"/>
    </x:font>
    <x:font>
      <x:b/>
      <x:sz val="11"/>
      <x:color rgb="FFFFFFFF"/>
      <x:name val="Calibri"/>
    </x:font>
    <x:font>
      <x:b/>
    </x:font>
  </x:fonts>
  <x:fills count="4">
    <x:fill>
      <x:patternFill patternType="none"/>
    </x:fill>
    <x:fill>
      <x:patternFill patternType="gray125"/>
    </x:fill>
    <x:fill>
      <x:patternFill patternType="solid">
        <x:fgColor rgb="FF1F4E79"/>
      </x:patternFill>
    </x:fill>
    <x:fill>
      <x:patternFill patternType="solid">
        <x:fgColor rgb="00E2EFDA"/>
      </x:patternFill>
    </x:fill>
  </x:fills>
  <x:borders count="2">
    <x:border>
      <x:left/>
      <x:right/>
      <x:top/>
      <x:bottom/>
      <x:diagonal/>
    </x:border>
    <x:border>
      <x:left style="thin">
        <x:color rgb="FFD9D9D9"/>
      </x:left>
      <x:right style="thin">
        <x:color rgb="FFD9D9D9"/>
      </x:right>
      <x:top style="thin">
        <x:color rgb="FFD9D9D9"/>
      </x:top>
      <x:bottom style="thin">
        <x:color rgb="FFD9D9D9"/>
      </x:bottom>
      <x:diagonal/>
    </x:border>
  </x:borders>
  <x:cellStyleXfs count="1">
    <x:xf numFmtId="0" fontId="0" fillId="0" borderId="0"/>
  </x:cellStyleXfs>
  <x:cellXfs count="9">
    <x:xf numFmtId="0" fontId="0" fillId="0" borderId="0" xfId="0"/>
    <x:xf numFmtId="0" fontId="1" fillId="0" borderId="0" xfId="0"/>
    <x:xf numFmtId="164" fontId="0" fillId="0" borderId="0" xfId="0"/>
    <x:xf numFmtId="0" fontId="2" fillId="2" borderId="1" xfId="0" applyAlignment="1">
      <x:alignment horizontal="center" vertical="center" wrapText="1"/>
    </x:xf>
    <x:xf numFmtId="0" fontId="0" fillId="0" borderId="0" xfId="0" applyAlignment="1">
      <x:alignment vertical="top" wrapText="1"/>
    </x:xf>
    <x:xf numFmtId="164" fontId="0" fillId="0" borderId="0" xfId="0" applyAlignment="1">
      <x:alignment vertical="top" wrapText="1"/>
    </x:xf>
    <x:xf numFmtId="0" fontId="0" fillId="0" borderId="0" xfId="0" applyAlignment="1">
      <x:alignment horizontal="left" vertical="top" wrapText="1"/>
    </x:xf>
    <x:xf numFmtId="0" fontId="0" fillId="0" borderId="0" xfId="0" applyAlignment="1">
      <x:alignment horizontal="left"/>
    </x:xf>
    <x:xf numFmtId="0" fontId="3" fillId="3" borderId="0" xfId="0" applyAlignment="1">
      <x:alignment horizont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5d843e96c6b4c97" /><Relationship Type="http://schemas.openxmlformats.org/officeDocument/2006/relationships/theme" Target="/xl/theme/theme1.xml" Id="R6080cab8c4814320" /><Relationship Type="http://schemas.openxmlformats.org/officeDocument/2006/relationships/sharedStrings" Target="/xl/sharedStrings.xml" Id="Rcae77805f05b4197" /><Relationship Type="http://schemas.openxmlformats.org/officeDocument/2006/relationships/worksheet" Target="/xl/worksheets/sheet1.xml" Id="R876a59c7cc774daf" /><Relationship Type="http://schemas.openxmlformats.org/officeDocument/2006/relationships/worksheet" Target="/xl/worksheets/sheet2.xml" Id="Rc64a63df062a4f19" /><Relationship Type="http://schemas.openxmlformats.org/officeDocument/2006/relationships/worksheet" Target="/xl/worksheets/sheet3.xml" Id="Rb22ff6ed79cf46d3" /><Relationship Type="http://schemas.openxmlformats.org/officeDocument/2006/relationships/worksheet" Target="/xl/worksheets/sheet4.xml" Id="R46f6a65a92c341af" /><Relationship Type="http://schemas.openxmlformats.org/officeDocument/2006/relationships/worksheet" Target="/xl/worksheets/sheet5.xml" Id="Rb65e378c43b4426f" /><Relationship Type="http://schemas.openxmlformats.org/officeDocument/2006/relationships/worksheet" Target="/xl/worksheets/sheet6.xml" Id="R635523c87f664098" /><Relationship Type="http://schemas.openxmlformats.org/officeDocument/2006/relationships/worksheet" Target="/xl/worksheets/sheet7.xml" Id="Rbbb81d85721a4445" /><Relationship Type="http://schemas.openxmlformats.org/officeDocument/2006/relationships/worksheet" Target="/xl/worksheets/sheet8.xml" Id="Rd62cc894828742c9" /><Relationship Type="http://schemas.openxmlformats.org/officeDocument/2006/relationships/worksheet" Target="/xl/worksheets/sheet9.xml" Id="R6f64114d8b5f4665" /><Relationship Type="http://schemas.openxmlformats.org/officeDocument/2006/relationships/worksheet" Target="/xl/worksheets/sheet10.xml" Id="Rf811288ede1d4912" /><Relationship Type="http://schemas.openxmlformats.org/officeDocument/2006/relationships/worksheet" Target="/xl/worksheets/sheet11.xml" Id="R9f9374716f004fd6" /><Relationship Type="http://schemas.openxmlformats.org/officeDocument/2006/relationships/worksheet" Target="/xl/worksheets/sheet12.xml" Id="Rd3df57c98d4a43e1" /><Relationship Type="http://schemas.openxmlformats.org/officeDocument/2006/relationships/worksheet" Target="/xl/worksheets/sheet13.xml" Id="R74ef3678a7af4bc6" /><Relationship Type="http://schemas.openxmlformats.org/officeDocument/2006/relationships/worksheet" Target="/xl/worksheets/sheet14.xml" Id="Rc4ea9aa7db124fb9" /><Relationship Type="http://schemas.openxmlformats.org/officeDocument/2006/relationships/worksheet" Target="/xl/worksheets/sheet15.xml" Id="Rba695bd98b3f48f7" /><Relationship Type="http://schemas.openxmlformats.org/officeDocument/2006/relationships/worksheet" Target="/xl/worksheets/sheet16.xml" Id="R0d14cff794e54359" /></Relationships>
</file>

<file path=xl/tables/table1.xml><?xml version="1.0" encoding="utf-8"?>
<x:table xmlns:x="http://schemas.openxmlformats.org/spreadsheetml/2006/main" id="1" name="tblComplianceControls" displayName="tblComplianceControls" ref="A1:M61" headerRowCount="1">
  <x:autoFilter ref="A1:M61"/>
  <x:tableColumns count="13">
    <x:tableColumn id="1" name="Domain"/>
    <x:tableColumn id="2" name="Control"/>
    <x:tableColumn id="3" name="ControlID"/>
    <x:tableColumn id="4" name="Requirement"/>
    <x:tableColumn id="5" name="ControlFamily"/>
    <x:tableColumn id="6" name="ReviewFrequencyHint"/>
    <x:tableColumn id="7" name="Priority"/>
    <x:tableColumn id="8" name="Status"/>
    <x:tableColumn id="9" name="Owner"/>
    <x:tableColumn id="10" name="EvidenceIDs"/>
    <x:tableColumn id="11" name="GateIDs"/>
    <x:tableColumn id="12" name="SegmentIDs"/>
    <x:tableColumn id="13" name="Notes"/>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table" Target="/xl/tables/table1.xml" Id="R6d56d6898f0e4cf7" /></Relationships>
</file>

<file path=xl/worksheets/sheet1.xml><?xml version="1.0" encoding="utf-8"?>
<x:worksheet xmlns:x="http://schemas.openxmlformats.org/spreadsheetml/2006/main">
  <x:sheetFormatPr defaultRowHeight="15"/>
  <x:cols>
    <x:col min="1" max="1" width="18" customWidth="1"/>
    <x:col min="2" max="2" width="100" customWidth="1"/>
  </x:cols>
  <x:sheetData>
    <x:row r="1">
      <x:c r="A1" s="1" t="inlineStr">
        <x:is>
          <x:t xml:space="preserve">Workbook</x:t>
        </x:is>
      </x:c>
      <x:c r="B1" t="inlineStr">
        <x:is>
          <x:t xml:space="preserve">MCE Command Center – Planning Pack (v1)</x:t>
        </x:is>
      </x:c>
    </x:row>
    <x:row r="2">
      <x:c r="A2" s="1" t="inlineStr">
        <x:is>
          <x:t xml:space="preserve">Created</x:t>
        </x:is>
      </x:c>
      <x:c r="B2" t="inlineStr">
        <x:is>
          <x:t xml:space="preserve">2025-12-20 00:21</x:t>
        </x:is>
      </x:c>
    </x:row>
    <x:row r="3">
      <x:c r="A3" s="1" t="inlineStr">
        <x:is>
          <x:t xml:space="preserve">Purpose</x:t>
        </x:is>
      </x:c>
      <x:c r="B3" t="inlineStr">
        <x:is>
          <x:t xml:space="preserve">Single place to capture uncertainties/assumptions, requirements, document taxonomy, and the 2-week quick-win plan.</x:t>
        </x:is>
      </x:c>
    </x:row>
    <x:row r="4">
      <x:c r="A4" s="1" t="inlineStr">
        <x:is>
          <x:t xml:space="preserve">How to use</x:t>
        </x:is>
      </x:c>
      <x:c r="B4" t="inlineStr">
        <x:is>
          <x:t xml:space="preserve">Fill/adjust rows marked HITL=Yes. Keep IDs stable; add new rows at bottom. Use Requirements_Checklist to mark MVP scope.</x:t>
        </x:is>
      </x:c>
    </x:row>
    <x:row r="5">
      <x:c r="A5" s="1" t="inlineStr">
        <x:is>
          <x:t xml:space="preserve">Owner</x:t>
        </x:is>
      </x:c>
      <x:c r="B5" t="inlineStr">
        <x:is>
          <x:t xml:space="preserve">Moe (Super Admin / Program Owner)</x:t>
        </x:is>
      </x:c>
    </x:row>
    <x:row r="6">
      <x:c r="A6" s="1" t="inlineStr">
        <x:is>
          <x:t xml:space="preserve">Notes</x:t>
        </x:is>
      </x:c>
      <x:c r="B6" t="inlineStr">
        <x:is>
          <x:t xml:space="preserve">This file is designed to be updated iteratively as more documents are ingested (Claude Code skills, policies, RFPs, proposals).</x:t>
        </x:is>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customWidth="1"/>
    <x:col min="2" max="2" width="15" customWidth="1"/>
    <x:col min="3" max="3" width="55" customWidth="1"/>
    <x:col min="4" max="4" width="10" customWidth="1"/>
    <x:col min="5" max="5" width="14" customWidth="1"/>
    <x:col min="6" max="6" width="30" customWidth="1"/>
    <x:col min="7" max="7" width="55" customWidth="1"/>
    <x:col min="8" max="8" width="10" customWidth="1"/>
    <x:col min="9" max="9" width="13" customWidth="1"/>
    <x:col min="10" max="10" width="19" style="2" customWidth="1"/>
    <x:col min="11" max="11" width="36" customWidth="1"/>
  </x:cols>
  <x:sheetData>
    <x:row r="1" ht="30" customHeight="1">
      <x:c r="A1" s="3" t="inlineStr">
        <x:is>
          <x:t xml:space="preserve">ID</x:t>
        </x:is>
      </x:c>
      <x:c r="B1" s="3" t="inlineStr">
        <x:is>
          <x:t xml:space="preserve">Area</x:t>
        </x:is>
      </x:c>
      <x:c r="C1" s="3" t="inlineStr">
        <x:is>
          <x:t xml:space="preserve">Uncertainty</x:t>
        </x:is>
      </x:c>
      <x:c r="D1" s="3" t="inlineStr">
        <x:is>
          <x:t xml:space="preserve">Impact</x:t>
        </x:is>
      </x:c>
      <x:c r="E1" s="3" t="inlineStr">
        <x:is>
          <x:t xml:space="preserve">Confidence_%</x:t>
        </x:is>
      </x:c>
      <x:c r="F1" s="3" t="inlineStr">
        <x:is>
          <x:t xml:space="preserve">Evidence_needed</x:t>
        </x:is>
      </x:c>
      <x:c r="G1" s="3" t="inlineStr">
        <x:is>
          <x:t xml:space="preserve">Proposed_assumption</x:t>
        </x:is>
      </x:c>
      <x:c r="H1" s="3" t="inlineStr">
        <x:is>
          <x:t xml:space="preserve">HITL</x:t>
        </x:is>
      </x:c>
      <x:c r="I1" s="3" t="inlineStr">
        <x:is>
          <x:t xml:space="preserve">Owner</x:t>
        </x:is>
      </x:c>
      <x:c r="J1" s="3" t="inlineStr">
        <x:is>
          <x:t xml:space="preserve">Decision_deadline</x:t>
        </x:is>
      </x:c>
      <x:c r="K1" s="3" t="inlineStr">
        <x:is>
          <x:t xml:space="preserve">Notes</x:t>
        </x:is>
      </x:c>
    </x:row>
    <x:row r="2" ht="30" customHeight="1">
      <x:c r="A2" s="4" t="inlineStr">
        <x:is>
          <x:t xml:space="preserve">U-001</x:t>
        </x:is>
      </x:c>
      <x:c r="B2" s="4" t="inlineStr">
        <x:is>
          <x:t xml:space="preserve">Org/People</x:t>
        </x:is>
      </x:c>
      <x:c r="C2" s="4" t="inlineStr">
        <x:is>
          <x:t xml:space="preserve">Exact departments + heads + reporting lines (incl. tender committee)</x:t>
        </x:is>
      </x:c>
      <x:c r="D2" s="4" t="inlineStr">
        <x:is>
          <x:t xml:space="preserve">High</x:t>
        </x:is>
      </x:c>
      <x:c r="E2" s="4" t="n">
        <x:v>35</x:v>
      </x:c>
      <x:c r="F2" s="4" t="inlineStr">
        <x:is>
          <x:t xml:space="preserve">Org chart + RACI</x:t>
        </x:is>
      </x:c>
      <x:c r="G2" s="4" t="inlineStr">
        <x:is>
          <x:t xml:space="preserve">Assume: Mgmt, PMO, Arch, MEP, Structural, QS/Cost, Finance, HR, IT, BD, QA/QC, Compliance</x:t>
        </x:is>
      </x:c>
      <x:c r="H2" s="4" t="inlineStr">
        <x:is>
          <x:t xml:space="preserve">Yes</x:t>
        </x:is>
      </x:c>
      <x:c r="I2" s="4" t="inlineStr">
        <x:is>
          <x:t xml:space="preserve">Moe</x:t>
        </x:is>
      </x:c>
      <x:c r="J2" s="5" t="n">
        <x:v>46013</x:v>
      </x:c>
      <x:c r="K2" s="4" t="inlineStr">
        <x:is>
          <x:t xml:space="preserve">Needed to set RBAC + routing.</x:t>
        </x:is>
      </x:c>
    </x:row>
    <x:row r="3" ht="45" customHeight="1">
      <x:c r="A3" s="4" t="inlineStr">
        <x:is>
          <x:t xml:space="preserve">U-002</x:t>
        </x:is>
      </x:c>
      <x:c r="B3" s="4" t="inlineStr">
        <x:is>
          <x:t xml:space="preserve">Systems</x:t>
        </x:is>
      </x:c>
      <x:c r="C3" s="4" t="inlineStr">
        <x:is>
          <x:t xml:space="preserve">Current systems inventory (QuickBooks version, file server/SharePoint/OneDrive, email platform, tender portals)</x:t>
        </x:is>
      </x:c>
      <x:c r="D3" s="4" t="inlineStr">
        <x:is>
          <x:t xml:space="preserve">High</x:t>
        </x:is>
      </x:c>
      <x:c r="E3" s="4" t="n">
        <x:v>30</x:v>
      </x:c>
      <x:c r="F3" s="4" t="inlineStr">
        <x:is>
          <x:t xml:space="preserve">IT stack list</x:t>
        </x:is>
      </x:c>
      <x:c r="G3" s="4" t="inlineStr">
        <x:is>
          <x:t xml:space="preserve">Assume: O365 email, shared drives/SharePoint, QuickBooks (desktop), basic NAS backups</x:t>
        </x:is>
      </x:c>
      <x:c r="H3" s="4" t="inlineStr">
        <x:is>
          <x:t xml:space="preserve">Yes</x:t>
        </x:is>
      </x:c>
      <x:c r="I3" s="4" t="inlineStr">
        <x:is>
          <x:t xml:space="preserve">IT Lead</x:t>
        </x:is>
      </x:c>
      <x:c r="J3" s="5" t="n">
        <x:v>46013</x:v>
      </x:c>
      <x:c r="K3" s="4" t="inlineStr">
        <x:is>
          <x:t xml:space="preserve">Integration scope + connectors.</x:t>
        </x:is>
      </x:c>
    </x:row>
    <x:row r="4" ht="30" customHeight="1">
      <x:c r="A4" s="4" t="inlineStr">
        <x:is>
          <x:t xml:space="preserve">U-003</x:t>
        </x:is>
      </x:c>
      <x:c r="B4" s="4" t="inlineStr">
        <x:is>
          <x:t xml:space="preserve">Security</x:t>
        </x:is>
      </x:c>
      <x:c r="C4" s="4" t="inlineStr">
        <x:is>
          <x:t xml:space="preserve">Data residency constraints (cloud allowed? UAE-only? healthcare data constraints)</x:t>
        </x:is>
      </x:c>
      <x:c r="D4" s="4" t="inlineStr">
        <x:is>
          <x:t xml:space="preserve">High</x:t>
        </x:is>
      </x:c>
      <x:c r="E4" s="4" t="n">
        <x:v>25</x:v>
      </x:c>
      <x:c r="F4" s="4" t="inlineStr">
        <x:is>
          <x:t xml:space="preserve">IT + legal note</x:t>
        </x:is>
      </x:c>
      <x:c r="G4" s="4" t="inlineStr">
        <x:is>
          <x:t xml:space="preserve">Assume: default on-prem/UAE hosting option required; cloud optional with approval</x:t>
        </x:is>
      </x:c>
      <x:c r="H4" s="4" t="inlineStr">
        <x:is>
          <x:t xml:space="preserve">Yes</x:t>
        </x:is>
      </x:c>
      <x:c r="I4" s="4" t="inlineStr">
        <x:is>
          <x:t xml:space="preserve">Compliance</x:t>
        </x:is>
      </x:c>
      <x:c r="J4" s="5" t="n">
        <x:v>46013</x:v>
      </x:c>
      <x:c r="K4" s="4" t="inlineStr">
        <x:is>
          <x:t xml:space="preserve">Affects hosting + RAG.</x:t>
        </x:is>
      </x:c>
    </x:row>
    <x:row r="5" ht="30" customHeight="1">
      <x:c r="A5" s="4" t="inlineStr">
        <x:is>
          <x:t xml:space="preserve">U-004</x:t>
        </x:is>
      </x:c>
      <x:c r="B5" s="4" t="inlineStr">
        <x:is>
          <x:t xml:space="preserve">Legal</x:t>
        </x:is>
      </x:c>
      <x:c r="C5" s="4" t="inlineStr">
        <x:is>
          <x:t xml:space="preserve">Which projects are under DOH/ADHICS or other sector rules (health data)</x:t>
        </x:is>
      </x:c>
      <x:c r="D5" s="4" t="inlineStr">
        <x:is>
          <x:t xml:space="preserve">High</x:t>
        </x:is>
      </x:c>
      <x:c r="E5" s="4" t="n">
        <x:v>40</x:v>
      </x:c>
      <x:c r="F5" s="4" t="inlineStr">
        <x:is>
          <x:t xml:space="preserve">Project list + client sector</x:t>
        </x:is>
      </x:c>
      <x:c r="G5" s="4" t="inlineStr">
        <x:is>
          <x:t xml:space="preserve">Assume: healthcare-heavy portfolio; treat all project docs as Confidential by default</x:t>
        </x:is>
      </x:c>
      <x:c r="H5" s="4" t="inlineStr">
        <x:is>
          <x:t xml:space="preserve">Yes</x:t>
        </x:is>
      </x:c>
      <x:c r="I5" s="4" t="inlineStr">
        <x:is>
          <x:t xml:space="preserve">Compliance</x:t>
        </x:is>
      </x:c>
      <x:c r="J5" s="5" t="n">
        <x:v>46018</x:v>
      </x:c>
      <x:c r="K5" s="4" t="inlineStr">
        <x:is>
          <x:t xml:space="preserve">Applies stronger controls.</x:t>
        </x:is>
      </x:c>
    </x:row>
    <x:row r="6" ht="30" customHeight="1">
      <x:c r="A6" s="4" t="inlineStr">
        <x:is>
          <x:t xml:space="preserve">U-005</x:t>
        </x:is>
      </x:c>
      <x:c r="B6" s="4" t="inlineStr">
        <x:is>
          <x:t xml:space="preserve">Ops</x:t>
        </x:is>
      </x:c>
      <x:c r="C6" s="4" t="inlineStr">
        <x:is>
          <x:t xml:space="preserve">Tender intake process: who receives first email + how docs are stored today</x:t>
        </x:is>
      </x:c>
      <x:c r="D6" s="4" t="inlineStr">
        <x:is>
          <x:t xml:space="preserve">High</x:t>
        </x:is>
      </x:c>
      <x:c r="E6" s="4" t="n">
        <x:v>45</x:v>
      </x:c>
      <x:c r="F6" s="4" t="inlineStr">
        <x:is>
          <x:t xml:space="preserve">Process walkthrough</x:t>
        </x:is>
      </x:c>
      <x:c r="G6" s="4" t="inlineStr">
        <x:is>
          <x:t xml:space="preserve">Assume: centralized tender mailbox + manual foldering</x:t>
        </x:is>
      </x:c>
      <x:c r="H6" s="4" t="inlineStr">
        <x:is>
          <x:t xml:space="preserve">Yes</x:t>
        </x:is>
      </x:c>
      <x:c r="I6" s="4" t="inlineStr">
        <x:is>
          <x:t xml:space="preserve">BD/PMO</x:t>
        </x:is>
      </x:c>
      <x:c r="J6" s="5" t="n">
        <x:v>46013</x:v>
      </x:c>
      <x:c r="K6" s="4" t="inlineStr">
        <x:is>
          <x:t xml:space="preserve">Defines ingestion automation.</x:t>
        </x:is>
      </x:c>
    </x:row>
    <x:row r="7" ht="30" customHeight="1">
      <x:c r="A7" s="4" t="inlineStr">
        <x:is>
          <x:t xml:space="preserve">U-006</x:t>
        </x:is>
      </x:c>
      <x:c r="B7" s="4" t="inlineStr">
        <x:is>
          <x:t xml:space="preserve">Ops</x:t>
        </x:is>
      </x:c>
      <x:c r="C7" s="4" t="inlineStr">
        <x:is>
          <x:t xml:space="preserve">Tender participation decision SLA and gatekeepers</x:t>
        </x:is>
      </x:c>
      <x:c r="D7" s="4" t="inlineStr">
        <x:is>
          <x:t xml:space="preserve">High</x:t>
        </x:is>
      </x:c>
      <x:c r="E7" s="4" t="n">
        <x:v>40</x:v>
      </x:c>
      <x:c r="F7" s="4" t="inlineStr">
        <x:is>
          <x:t xml:space="preserve">Mgmt policy or practice</x:t>
        </x:is>
      </x:c>
      <x:c r="G7" s="4" t="inlineStr">
        <x:is>
          <x:t xml:space="preserve">Assume: VP/Chairman approval required within 24–48h of receipt</x:t>
        </x:is>
      </x:c>
      <x:c r="H7" s="4" t="inlineStr">
        <x:is>
          <x:t xml:space="preserve">Yes</x:t>
        </x:is>
      </x:c>
      <x:c r="I7" s="4" t="inlineStr">
        <x:is>
          <x:t xml:space="preserve">Management</x:t>
        </x:is>
      </x:c>
      <x:c r="J7" s="5" t="n">
        <x:v>46013</x:v>
      </x:c>
      <x:c r="K7" s="4" t="inlineStr">
        <x:is>
          <x:t xml:space="preserve">Drives notification escalation.</x:t>
        </x:is>
      </x:c>
    </x:row>
    <x:row r="8" ht="45" customHeight="1">
      <x:c r="A8" s="4" t="inlineStr">
        <x:is>
          <x:t xml:space="preserve">U-007</x:t>
        </x:is>
      </x:c>
      <x:c r="B8" s="4" t="inlineStr">
        <x:is>
          <x:t xml:space="preserve">Data</x:t>
        </x:is>
      </x:c>
      <x:c r="C8" s="4" t="inlineStr">
        <x:is>
          <x:t xml:space="preserve">Canonical project stages (Design vs Supervision vs Pre-Concept) and sub-stages</x:t>
        </x:is>
      </x:c>
      <x:c r="D8" s="4" t="inlineStr">
        <x:is>
          <x:t xml:space="preserve">High</x:t>
        </x:is>
      </x:c>
      <x:c r="E8" s="4" t="n">
        <x:v>50</x:v>
      </x:c>
      <x:c r="F8" s="4" t="inlineStr">
        <x:is>
          <x:t xml:space="preserve">Current tracker or list</x:t>
        </x:is>
      </x:c>
      <x:c r="G8" s="4" t="inlineStr">
        <x:is>
          <x:t xml:space="preserve">Assume: Pre-Concept→Concept→Schematic→Detailed→Tender→Construction Support→DLP</x:t>
        </x:is>
      </x:c>
      <x:c r="H8" s="4" t="inlineStr">
        <x:is>
          <x:t xml:space="preserve">Yes</x:t>
        </x:is>
      </x:c>
      <x:c r="I8" s="4" t="inlineStr">
        <x:is>
          <x:t xml:space="preserve">PMO</x:t>
        </x:is>
      </x:c>
      <x:c r="J8" s="5" t="n">
        <x:v>46018</x:v>
      </x:c>
      <x:c r="K8" s="4" t="inlineStr">
        <x:is>
          <x:t xml:space="preserve">Needed for tracker schema.</x:t>
        </x:is>
      </x:c>
    </x:row>
    <x:row r="9" ht="45" customHeight="1">
      <x:c r="A9" s="4" t="inlineStr">
        <x:is>
          <x:t xml:space="preserve">U-008</x:t>
        </x:is>
      </x:c>
      <x:c r="B9" s="4" t="inlineStr">
        <x:is>
          <x:t xml:space="preserve">Data</x:t>
        </x:is>
      </x:c>
      <x:c r="C9" s="4" t="inlineStr">
        <x:is>
          <x:t xml:space="preserve">Tender stages and required artifacts per stage</x:t>
        </x:is>
      </x:c>
      <x:c r="D9" s="4" t="inlineStr">
        <x:is>
          <x:t xml:space="preserve">High</x:t>
        </x:is>
      </x:c>
      <x:c r="E9" s="4" t="n">
        <x:v>50</x:v>
      </x:c>
      <x:c r="F9" s="4" t="inlineStr">
        <x:is>
          <x:t xml:space="preserve">Past tender log</x:t>
        </x:is>
      </x:c>
      <x:c r="G9" s="4" t="inlineStr">
        <x:is>
          <x:t xml:space="preserve">Assume: Intake→Eligibility→Clarifications/RFI→Site Visit→Tech→Commercial→Submission→Follow-up→Award/Regret</x:t>
        </x:is>
      </x:c>
      <x:c r="H9" s="4" t="inlineStr">
        <x:is>
          <x:t xml:space="preserve">Yes</x:t>
        </x:is>
      </x:c>
      <x:c r="I9" s="4" t="inlineStr">
        <x:is>
          <x:t xml:space="preserve">PMO</x:t>
        </x:is>
      </x:c>
      <x:c r="J9" s="5" t="n">
        <x:v>46018</x:v>
      </x:c>
      <x:c r="K9" s="4" t="inlineStr">
        <x:is>
          <x:t xml:space="preserve">Needed for KPI + workflow.</x:t>
        </x:is>
      </x:c>
    </x:row>
    <x:row r="10" ht="30" customHeight="1">
      <x:c r="A10" s="4" t="inlineStr">
        <x:is>
          <x:t xml:space="preserve">U-009</x:t>
        </x:is>
      </x:c>
      <x:c r="B10" s="4" t="inlineStr">
        <x:is>
          <x:t xml:space="preserve">Notifications</x:t>
        </x:is>
      </x:c>
      <x:c r="C10" s="4" t="inlineStr">
        <x:is>
          <x:t xml:space="preserve">Preferred channels for alerts (email/Teams/WhatsApp/SMS) and escalation hierarchy</x:t>
        </x:is>
      </x:c>
      <x:c r="D10" s="4" t="inlineStr">
        <x:is>
          <x:t xml:space="preserve">High</x:t>
        </x:is>
      </x:c>
      <x:c r="E10" s="4" t="n">
        <x:v>45</x:v>
      </x:c>
      <x:c r="F10" s="4" t="inlineStr">
        <x:is>
          <x:t xml:space="preserve">Mgmt preference</x:t>
        </x:is>
      </x:c>
      <x:c r="G10" s="4" t="inlineStr">
        <x:is>
          <x:t xml:space="preserve">Assume: email + in-app now; Teams later; SMS only critical</x:t>
        </x:is>
      </x:c>
      <x:c r="H10" s="4" t="inlineStr">
        <x:is>
          <x:t xml:space="preserve">Yes</x:t>
        </x:is>
      </x:c>
      <x:c r="I10" s="4" t="inlineStr">
        <x:is>
          <x:t xml:space="preserve">Management</x:t>
        </x:is>
      </x:c>
      <x:c r="J10" s="5" t="n">
        <x:v>46013</x:v>
      </x:c>
      <x:c r="K10" s="4" t="inlineStr">
        <x:is>
          <x:t xml:space="preserve">Must be right early.</x:t>
        </x:is>
      </x:c>
    </x:row>
    <x:row r="11" ht="30" customHeight="1">
      <x:c r="A11" s="4" t="inlineStr">
        <x:is>
          <x:t xml:space="preserve">U-010</x:t>
        </x:is>
      </x:c>
      <x:c r="B11" s="4" t="inlineStr">
        <x:is>
          <x:t xml:space="preserve">Docs/RAG</x:t>
        </x:is>
      </x:c>
      <x:c r="C11" s="4" t="inlineStr">
        <x:is>
          <x:t xml:space="preserve">Preferred RAG boundary: per-client, per-project, or global + filtered?</x:t>
        </x:is>
      </x:c>
      <x:c r="D11" s="4" t="inlineStr">
        <x:is>
          <x:t xml:space="preserve">High</x:t>
        </x:is>
      </x:c>
      <x:c r="E11" s="4" t="n">
        <x:v>35</x:v>
      </x:c>
      <x:c r="F11" s="4" t="inlineStr">
        <x:is>
          <x:t xml:space="preserve">Policy decision</x:t>
        </x:is>
      </x:c>
      <x:c r="G11" s="4" t="inlineStr">
        <x:is>
          <x:t xml:space="preserve">Assume: global index with strict tenant/project filters; optional isolated vaults</x:t>
        </x:is>
      </x:c>
      <x:c r="H11" s="4" t="inlineStr">
        <x:is>
          <x:t xml:space="preserve">Yes</x:t>
        </x:is>
      </x:c>
      <x:c r="I11" s="4" t="inlineStr">
        <x:is>
          <x:t xml:space="preserve">Compliance</x:t>
        </x:is>
      </x:c>
      <x:c r="J11" s="5" t="n">
        <x:v>46018</x:v>
      </x:c>
      <x:c r="K11" s="4" t="inlineStr">
        <x:is>
          <x:t xml:space="preserve">Avoids leakage.</x:t>
        </x:is>
      </x:c>
    </x:row>
    <x:row r="12" ht="30" customHeight="1">
      <x:c r="A12" s="4" t="inlineStr">
        <x:is>
          <x:t xml:space="preserve">U-011</x:t>
        </x:is>
      </x:c>
      <x:c r="B12" s="4" t="inlineStr">
        <x:is>
          <x:t xml:space="preserve">Docs/RAG</x:t>
        </x:is>
      </x:c>
      <x:c r="C12" s="4" t="inlineStr">
        <x:is>
          <x:t xml:space="preserve">Accepted doc parsing stack (Docling vs Unstructured vs Azure Form Recognizer etc.)</x:t>
        </x:is>
      </x:c>
      <x:c r="D12" s="4" t="inlineStr">
        <x:is>
          <x:t xml:space="preserve">Med</x:t>
        </x:is>
      </x:c>
      <x:c r="E12" s="4" t="n">
        <x:v>60</x:v>
      </x:c>
      <x:c r="F12" s="4" t="inlineStr">
        <x:is>
          <x:t xml:space="preserve">PoC results</x:t>
        </x:is>
      </x:c>
      <x:c r="G12" s="4" t="inlineStr">
        <x:is>
          <x:t xml:space="preserve">Assume: Docling first; fall back to Unstructured for edge cases</x:t>
        </x:is>
      </x:c>
      <x:c r="H12" s="4" t="inlineStr">
        <x:is>
          <x:t xml:space="preserve">No</x:t>
        </x:is>
      </x:c>
      <x:c r="I12" s="4" t="inlineStr">
        <x:is>
          <x:t xml:space="preserve">Engineering</x:t>
        </x:is>
      </x:c>
      <x:c r="J12" s="5" t="n">
        <x:v>46018</x:v>
      </x:c>
      <x:c r="K12" s="4" t="inlineStr">
        <x:is>
          <x:t xml:space="preserve">Can change after PoC.</x:t>
        </x:is>
      </x:c>
    </x:row>
    <x:row r="13" ht="30" customHeight="1">
      <x:c r="A13" s="4" t="inlineStr">
        <x:is>
          <x:t xml:space="preserve">U-012</x:t>
        </x:is>
      </x:c>
      <x:c r="B13" s="4" t="inlineStr">
        <x:is>
          <x:t xml:space="preserve">UI</x:t>
        </x:is>
      </x:c>
      <x:c r="C13" s="4" t="inlineStr">
        <x:is>
          <x:t xml:space="preserve">Ed Hounour-style tracker UI elements that must be replicated (views/fields)</x:t>
        </x:is>
      </x:c>
      <x:c r="D13" s="4" t="inlineStr">
        <x:is>
          <x:t xml:space="preserve">Med</x:t>
        </x:is>
      </x:c>
      <x:c r="E13" s="4" t="n">
        <x:v>55</x:v>
      </x:c>
      <x:c r="F13" s="4" t="inlineStr">
        <x:is>
          <x:t xml:space="preserve">Screenshot/examples</x:t>
        </x:is>
      </x:c>
      <x:c r="G13" s="4" t="inlineStr">
        <x:is>
          <x:t xml:space="preserve">Assume: table + kanban + status chips + quick filters + weekly focus view</x:t>
        </x:is>
      </x:c>
      <x:c r="H13" s="4" t="inlineStr">
        <x:is>
          <x:t xml:space="preserve">Yes</x:t>
        </x:is>
      </x:c>
      <x:c r="I13" s="4" t="inlineStr">
        <x:is>
          <x:t xml:space="preserve">Moe</x:t>
        </x:is>
      </x:c>
      <x:c r="J13" s="5" t="n">
        <x:v>46018</x:v>
      </x:c>
      <x:c r="K13" s="4" t="inlineStr">
        <x:is>
          <x:t xml:space="preserve">Affects UX acceptance.</x:t>
        </x:is>
      </x:c>
    </x:row>
    <x:row r="14" ht="30" customHeight="1">
      <x:c r="A14" s="4" t="inlineStr">
        <x:is>
          <x:t xml:space="preserve">U-013</x:t>
        </x:is>
      </x:c>
      <x:c r="B14" s="4" t="inlineStr">
        <x:is>
          <x:t xml:space="preserve">Finance</x:t>
        </x:is>
      </x:c>
      <x:c r="C14" s="4" t="inlineStr">
        <x:is>
          <x:t xml:space="preserve">30/60/90 forecast model: what inputs exist today?</x:t>
        </x:is>
      </x:c>
      <x:c r="D14" s="4" t="inlineStr">
        <x:is>
          <x:t xml:space="preserve">High</x:t>
        </x:is>
      </x:c>
      <x:c r="E14" s="4" t="n">
        <x:v>30</x:v>
      </x:c>
      <x:c r="F14" s="4" t="inlineStr">
        <x:is>
          <x:t xml:space="preserve">Finance workbook/process</x:t>
        </x:is>
      </x:c>
      <x:c r="G14" s="4" t="inlineStr">
        <x:is>
          <x:t xml:space="preserve">Assume: invoices + expenses in QuickBooks; need export to CSV</x:t>
        </x:is>
      </x:c>
      <x:c r="H14" s="4" t="inlineStr">
        <x:is>
          <x:t xml:space="preserve">Yes</x:t>
        </x:is>
      </x:c>
      <x:c r="I14" s="4" t="inlineStr">
        <x:is>
          <x:t xml:space="preserve">Finance</x:t>
        </x:is>
      </x:c>
      <x:c r="J14" s="5" t="n">
        <x:v>46018</x:v>
      </x:c>
      <x:c r="K14" s="4" t="inlineStr">
        <x:is>
          <x:t xml:space="preserve">Later module but needs schema now.</x:t>
        </x:is>
      </x:c>
    </x:row>
    <x:row r="15" ht="30" customHeight="1">
      <x:c r="A15" s="4" t="inlineStr">
        <x:is>
          <x:t xml:space="preserve">U-014</x:t>
        </x:is>
      </x:c>
      <x:c r="B15" s="4" t="inlineStr">
        <x:is>
          <x:t xml:space="preserve">Email</x:t>
        </x:is>
      </x:c>
      <x:c r="C15" s="4" t="inlineStr">
        <x:is>
          <x:t xml:space="preserve">Email analysis scope: read-only classification vs auto-drafting vs auto-sending</x:t>
        </x:is>
      </x:c>
      <x:c r="D15" s="4" t="inlineStr">
        <x:is>
          <x:t xml:space="preserve">High</x:t>
        </x:is>
      </x:c>
      <x:c r="E15" s="4" t="n">
        <x:v>35</x:v>
      </x:c>
      <x:c r="F15" s="4" t="inlineStr">
        <x:is>
          <x:t xml:space="preserve">Policy decision</x:t>
        </x:is>
      </x:c>
      <x:c r="G15" s="4" t="inlineStr">
        <x:is>
          <x:t xml:space="preserve">Assume: drafting + human send (HITL) for v1; read-only ingestion ok</x:t>
        </x:is>
      </x:c>
      <x:c r="H15" s="4" t="inlineStr">
        <x:is>
          <x:t xml:space="preserve">Yes</x:t>
        </x:is>
      </x:c>
      <x:c r="I15" s="4" t="inlineStr">
        <x:is>
          <x:t xml:space="preserve">Compliance</x:t>
        </x:is>
      </x:c>
      <x:c r="J15" s="5" t="n">
        <x:v>46018</x:v>
      </x:c>
      <x:c r="K15" s="4" t="inlineStr">
        <x:is>
          <x:t xml:space="preserve">High risk area.</x:t>
        </x:is>
      </x:c>
    </x:row>
    <x:row r="16" ht="30" customHeight="1">
      <x:c r="A16" s="4" t="inlineStr">
        <x:is>
          <x:t xml:space="preserve">U-015</x:t>
        </x:is>
      </x:c>
      <x:c r="B16" s="4" t="inlineStr">
        <x:is>
          <x:t xml:space="preserve">Deployment</x:t>
        </x:is>
      </x:c>
      <x:c r="C16" s="4" t="inlineStr">
        <x:is>
          <x:t xml:space="preserve">Target hosting: on-prem server, UAE cloud VM, or managed PaaS?</x:t>
        </x:is>
      </x:c>
      <x:c r="D16" s="4" t="inlineStr">
        <x:is>
          <x:t xml:space="preserve">High</x:t>
        </x:is>
      </x:c>
      <x:c r="E16" s="4" t="n">
        <x:v>40</x:v>
      </x:c>
      <x:c r="F16" s="4" t="inlineStr">
        <x:is>
          <x:t xml:space="preserve">IT decision</x:t>
        </x:is>
      </x:c>
      <x:c r="G16" s="4" t="inlineStr">
        <x:is>
          <x:t xml:space="preserve">Assume: Docker Compose on UAE VM for v1; k8s later</x:t>
        </x:is>
      </x:c>
      <x:c r="H16" s="4" t="inlineStr">
        <x:is>
          <x:t xml:space="preserve">Yes</x:t>
        </x:is>
      </x:c>
      <x:c r="I16" s="4" t="inlineStr">
        <x:is>
          <x:t xml:space="preserve">IT Lead</x:t>
        </x:is>
      </x:c>
      <x:c r="J16" s="5" t="n">
        <x:v>46013</x:v>
      </x:c>
      <x:c r="K16" s="4" t="inlineStr">
        <x:is>
          <x:t xml:space="preserve">Impacts bootstrap.</x:t>
        </x:is>
      </x:c>
    </x:row>
    <x:row r="17" ht="30" customHeight="1">
      <x:c r="A17" s="4" t="inlineStr">
        <x:is>
          <x:t xml:space="preserve">U-016</x:t>
        </x:is>
      </x:c>
      <x:c r="B17" s="4" t="inlineStr">
        <x:is>
          <x:t xml:space="preserve">Docs/RAG</x:t>
        </x:is>
      </x:c>
      <x:c r="C17" s="4" t="inlineStr">
        <x:is>
          <x:t xml:space="preserve">Bilingual handling: Arabic/English docs + mixed tables</x:t>
        </x:is>
      </x:c>
      <x:c r="D17" s="4" t="inlineStr">
        <x:is>
          <x:t xml:space="preserve">High</x:t>
        </x:is>
      </x:c>
      <x:c r="E17" s="4" t="n">
        <x:v>40</x:v>
      </x:c>
      <x:c r="F17" s="4" t="inlineStr">
        <x:is>
          <x:t xml:space="preserve">Sample bilingual docs</x:t>
        </x:is>
      </x:c>
      <x:c r="G17" s="4" t="inlineStr">
        <x:is>
          <x:t xml:space="preserve">Assume: store original + normalized bilingual metadata; bilingual embeddings if needed</x:t>
        </x:is>
      </x:c>
      <x:c r="H17" s="4" t="inlineStr">
        <x:is>
          <x:t xml:space="preserve">Yes</x:t>
        </x:is>
      </x:c>
      <x:c r="I17" s="4" t="inlineStr">
        <x:is>
          <x:t xml:space="preserve">Engineering</x:t>
        </x:is>
      </x:c>
      <x:c r="J17" s="5" t="n">
        <x:v>46018</x:v>
      </x:c>
      <x:c r="K17" s="4" t="inlineStr">
        <x:is>
          <x:t xml:space="preserve">Impacts search quality.</x:t>
        </x:is>
      </x:c>
    </x:row>
    <x:row r="18" ht="30" customHeight="1">
      <x:c r="A18" s="4" t="inlineStr">
        <x:is>
          <x:t xml:space="preserve">U-017</x:t>
        </x:is>
      </x:c>
      <x:c r="B18" s="4" t="inlineStr">
        <x:is>
          <x:t xml:space="preserve">Docs/RAG</x:t>
        </x:is>
      </x:c>
      <x:c r="C18" s="4" t="inlineStr">
        <x:is>
          <x:t xml:space="preserve">What constitutes an acceptable citation (page/section) for management</x:t>
        </x:is>
      </x:c>
      <x:c r="D18" s="4" t="inlineStr">
        <x:is>
          <x:t xml:space="preserve">Med</x:t>
        </x:is>
      </x:c>
      <x:c r="E18" s="4" t="n">
        <x:v>55</x:v>
      </x:c>
      <x:c r="F18" s="4" t="inlineStr">
        <x:is>
          <x:t xml:space="preserve">Stakeholder examples</x:t>
        </x:is>
      </x:c>
      <x:c r="G18" s="4" t="inlineStr">
        <x:is>
          <x:t xml:space="preserve">Assume: page+clause refs in outputs mandatory</x:t>
        </x:is>
      </x:c>
      <x:c r="H18" s="4" t="inlineStr">
        <x:is>
          <x:t xml:space="preserve">Yes</x:t>
        </x:is>
      </x:c>
      <x:c r="I18" s="4" t="inlineStr">
        <x:is>
          <x:t xml:space="preserve">Management</x:t>
        </x:is>
      </x:c>
      <x:c r="J18" s="5" t="n">
        <x:v>46018</x:v>
      </x:c>
      <x:c r="K18" s="4" t="inlineStr">
        <x:is>
          <x:t xml:space="preserve">Trust requirement.</x:t>
        </x:is>
      </x:c>
    </x:row>
    <x:row r="19" ht="30" customHeight="1">
      <x:c r="A19" s="4" t="inlineStr">
        <x:is>
          <x:t xml:space="preserve">U-018</x:t>
        </x:is>
      </x:c>
      <x:c r="B19" s="4" t="inlineStr">
        <x:is>
          <x:t xml:space="preserve">Docs/RAG</x:t>
        </x:is>
      </x:c>
      <x:c r="C19" s="4" t="inlineStr">
        <x:is>
          <x:t xml:space="preserve">Allowed LLM providers for sensitive data (OpenAI/Anthropic/on-prem)</x:t>
        </x:is>
      </x:c>
      <x:c r="D19" s="4" t="inlineStr">
        <x:is>
          <x:t xml:space="preserve">High</x:t>
        </x:is>
      </x:c>
      <x:c r="E19" s="4" t="n">
        <x:v>25</x:v>
      </x:c>
      <x:c r="F19" s="4" t="inlineStr">
        <x:is>
          <x:t xml:space="preserve">Policy decision</x:t>
        </x:is>
      </x:c>
      <x:c r="G19" s="4" t="inlineStr">
        <x:is>
          <x:t xml:space="preserve">Assume: run sensitive inference on approved provider; allow local models for Restricted</x:t>
        </x:is>
      </x:c>
      <x:c r="H19" s="4" t="inlineStr">
        <x:is>
          <x:t xml:space="preserve">Yes</x:t>
        </x:is>
      </x:c>
      <x:c r="I19" s="4" t="inlineStr">
        <x:is>
          <x:t xml:space="preserve">Compliance</x:t>
        </x:is>
      </x:c>
      <x:c r="J19" s="5" t="n">
        <x:v>46013</x:v>
      </x:c>
      <x:c r="K19" s="4" t="inlineStr">
        <x:is>
          <x:t xml:space="preserve">Critical.</x:t>
        </x:is>
      </x:c>
    </x:row>
    <x:row r="20">
      <x:c r="A20" s="4" t="inlineStr">
        <x:is>
          <x:t xml:space="preserve">U-019</x:t>
        </x:is>
      </x:c>
      <x:c r="B20" s="4" t="inlineStr">
        <x:is>
          <x:t xml:space="preserve">Ops</x:t>
        </x:is>
      </x:c>
      <x:c r="C20" s="4" t="inlineStr">
        <x:is>
          <x:t xml:space="preserve">Standard tender folder naming convention</x:t>
        </x:is>
      </x:c>
      <x:c r="D20" s="4" t="inlineStr">
        <x:is>
          <x:t xml:space="preserve">Med</x:t>
        </x:is>
      </x:c>
      <x:c r="E20" s="4" t="n">
        <x:v>60</x:v>
      </x:c>
      <x:c r="F20" s="4" t="inlineStr">
        <x:is>
          <x:t xml:space="preserve">Current folder examples</x:t>
        </x:is>
      </x:c>
      <x:c r="G20" s="4" t="inlineStr">
        <x:is>
          <x:t xml:space="preserve">Assume: {YEAR}-{CLIENT}-{TENDERREF}-{TITLE}</x:t>
        </x:is>
      </x:c>
      <x:c r="H20" s="4" t="inlineStr">
        <x:is>
          <x:t xml:space="preserve">Yes</x:t>
        </x:is>
      </x:c>
      <x:c r="I20" s="4" t="inlineStr">
        <x:is>
          <x:t xml:space="preserve">PMO</x:t>
        </x:is>
      </x:c>
      <x:c r="J20" s="5" t="n">
        <x:v>46018</x:v>
      </x:c>
      <x:c r="K20" s="4" t="inlineStr">
        <x:is>
          <x:t xml:space="preserve">Automation depends on this.</x:t>
        </x:is>
      </x:c>
    </x:row>
    <x:row r="21" ht="30" customHeight="1">
      <x:c r="A21" s="4" t="inlineStr">
        <x:is>
          <x:t xml:space="preserve">U-020</x:t>
        </x:is>
      </x:c>
      <x:c r="B21" s="4" t="inlineStr">
        <x:is>
          <x:t xml:space="preserve">Ops</x:t>
        </x:is>
      </x:c>
      <x:c r="C21" s="4" t="inlineStr">
        <x:is>
          <x:t xml:space="preserve">Document versioning approach (v1/v2 vs git-like)</x:t>
        </x:is>
      </x:c>
      <x:c r="D21" s="4" t="inlineStr">
        <x:is>
          <x:t xml:space="preserve">Med</x:t>
        </x:is>
      </x:c>
      <x:c r="E21" s="4" t="n">
        <x:v>55</x:v>
      </x:c>
      <x:c r="F21" s="4" t="inlineStr">
        <x:is>
          <x:t xml:space="preserve">SOP</x:t>
        </x:is>
      </x:c>
      <x:c r="G21" s="4" t="inlineStr">
        <x:is>
          <x:t xml:space="preserve">Assume: semantic version + audit trail; keep originals immutable</x:t>
        </x:is>
      </x:c>
      <x:c r="H21" s="4" t="inlineStr">
        <x:is>
          <x:t xml:space="preserve">Yes</x:t>
        </x:is>
      </x:c>
      <x:c r="I21" s="4" t="inlineStr">
        <x:is>
          <x:t xml:space="preserve">QA/QC</x:t>
        </x:is>
      </x:c>
      <x:c r="J21" s="5" t="n">
        <x:v>46018</x:v>
      </x:c>
      <x:c r="K21" s="4" t="inlineStr">
        <x:is>
          <x:t xml:space="preserve">Avoid confusion.</x:t>
        </x:is>
      </x:c>
    </x:row>
    <x:row r="22" ht="30" customHeight="1">
      <x:c r="A22" s="4" t="inlineStr">
        <x:is>
          <x:t xml:space="preserve">U-021</x:t>
        </x:is>
      </x:c>
      <x:c r="B22" s="4" t="inlineStr">
        <x:is>
          <x:t xml:space="preserve">Ops</x:t>
        </x:is>
      </x:c>
      <x:c r="C22" s="4" t="inlineStr">
        <x:is>
          <x:t xml:space="preserve">Who owns tender templates today and approval authority for new ones</x:t>
        </x:is>
      </x:c>
      <x:c r="D22" s="4" t="inlineStr">
        <x:is>
          <x:t xml:space="preserve">High</x:t>
        </x:is>
      </x:c>
      <x:c r="E22" s="4" t="n">
        <x:v>45</x:v>
      </x:c>
      <x:c r="F22" s="4" t="inlineStr">
        <x:is>
          <x:t xml:space="preserve">Mgmt decision</x:t>
        </x:is>
      </x:c>
      <x:c r="G22" s="4" t="inlineStr">
        <x:is>
          <x:t xml:space="preserve">Assume: PMO owns; Dept heads approve; VP final</x:t>
        </x:is>
      </x:c>
      <x:c r="H22" s="4" t="inlineStr">
        <x:is>
          <x:t xml:space="preserve">Yes</x:t>
        </x:is>
      </x:c>
      <x:c r="I22" s="4" t="inlineStr">
        <x:is>
          <x:t xml:space="preserve">Management</x:t>
        </x:is>
      </x:c>
      <x:c r="J22" s="5" t="n">
        <x:v>46018</x:v>
      </x:c>
      <x:c r="K22" s="4" t="inlineStr">
        <x:is>
          <x:t xml:space="preserve">Template governance.</x:t>
        </x:is>
      </x:c>
    </x:row>
    <x:row r="23">
      <x:c r="A23" s="4" t="inlineStr">
        <x:is>
          <x:t xml:space="preserve">U-022</x:t>
        </x:is>
      </x:c>
      <x:c r="B23" s="4" t="inlineStr">
        <x:is>
          <x:t xml:space="preserve">Ops</x:t>
        </x:is>
      </x:c>
      <x:c r="C23" s="4" t="inlineStr">
        <x:is>
          <x:t xml:space="preserve">Required tender deliverables checklist varies by client?</x:t>
        </x:is>
      </x:c>
      <x:c r="D23" s="4" t="inlineStr">
        <x:is>
          <x:t xml:space="preserve">High</x:t>
        </x:is>
      </x:c>
      <x:c r="E23" s="4" t="n">
        <x:v>50</x:v>
      </x:c>
      <x:c r="F23" s="4" t="inlineStr">
        <x:is>
          <x:t xml:space="preserve">Past submissions</x:t>
        </x:is>
      </x:c>
      <x:c r="G23" s="4" t="inlineStr">
        <x:is>
          <x:t xml:space="preserve">Assume: base checklist + client overlays</x:t>
        </x:is>
      </x:c>
      <x:c r="H23" s="4" t="inlineStr">
        <x:is>
          <x:t xml:space="preserve">Yes</x:t>
        </x:is>
      </x:c>
      <x:c r="I23" s="4" t="inlineStr">
        <x:is>
          <x:t xml:space="preserve">PMO</x:t>
        </x:is>
      </x:c>
      <x:c r="J23" s="5" t="n">
        <x:v>46018</x:v>
      </x:c>
      <x:c r="K23" s="4" t="inlineStr">
        <x:is>
          <x:t xml:space="preserve">Model needs rules.</x:t>
        </x:is>
      </x:c>
    </x:row>
    <x:row r="24">
      <x:c r="A24" s="4" t="inlineStr">
        <x:is>
          <x:t xml:space="preserve">U-023</x:t>
        </x:is>
      </x:c>
      <x:c r="B24" s="4" t="inlineStr">
        <x:is>
          <x:t xml:space="preserve">Ops</x:t>
        </x:is>
      </x:c>
      <x:c r="C24" s="4" t="inlineStr">
        <x:is>
          <x:t xml:space="preserve">RFI process: who drafts, who approves, where logged</x:t>
        </x:is>
      </x:c>
      <x:c r="D24" s="4" t="inlineStr">
        <x:is>
          <x:t xml:space="preserve">High</x:t>
        </x:is>
      </x:c>
      <x:c r="E24" s="4" t="n">
        <x:v>45</x:v>
      </x:c>
      <x:c r="F24" s="4" t="inlineStr">
        <x:is>
          <x:t xml:space="preserve">Process map</x:t>
        </x:is>
      </x:c>
      <x:c r="G24" s="4" t="inlineStr">
        <x:is>
          <x:t xml:space="preserve">Assume: PMO drafts; discipline inputs; VP approves</x:t>
        </x:is>
      </x:c>
      <x:c r="H24" s="4" t="inlineStr">
        <x:is>
          <x:t xml:space="preserve">Yes</x:t>
        </x:is>
      </x:c>
      <x:c r="I24" s="4" t="inlineStr">
        <x:is>
          <x:t xml:space="preserve">PMO</x:t>
        </x:is>
      </x:c>
      <x:c r="J24" s="5" t="n">
        <x:v>46018</x:v>
      </x:c>
      <x:c r="K24" s="4" t="inlineStr">
        <x:is>
          <x:t xml:space="preserve">Automation scope.</x:t>
        </x:is>
      </x:c>
    </x:row>
    <x:row r="25">
      <x:c r="A25" s="4" t="inlineStr">
        <x:is>
          <x:t xml:space="preserve">U-024</x:t>
        </x:is>
      </x:c>
      <x:c r="B25" s="4" t="inlineStr">
        <x:is>
          <x:t xml:space="preserve">Projects</x:t>
        </x:is>
      </x:c>
      <x:c r="C25" s="4" t="inlineStr">
        <x:is>
          <x:t xml:space="preserve">DLP definition and tracking approach (some clients differ)</x:t>
        </x:is>
      </x:c>
      <x:c r="D25" s="4" t="inlineStr">
        <x:is>
          <x:t xml:space="preserve">Med</x:t>
        </x:is>
      </x:c>
      <x:c r="E25" s="4" t="n">
        <x:v>55</x:v>
      </x:c>
      <x:c r="F25" s="4" t="inlineStr">
        <x:is>
          <x:t xml:space="preserve">Contract examples</x:t>
        </x:is>
      </x:c>
      <x:c r="G25" s="4" t="inlineStr">
        <x:is>
          <x:t xml:space="preserve">Assume: DLP end date is contract-defined; store per project</x:t>
        </x:is>
      </x:c>
      <x:c r="H25" s="4" t="inlineStr">
        <x:is>
          <x:t xml:space="preserve">Yes</x:t>
        </x:is>
      </x:c>
      <x:c r="I25" s="4" t="inlineStr">
        <x:is>
          <x:t xml:space="preserve">PMO</x:t>
        </x:is>
      </x:c>
      <x:c r="J25" s="5" t="n">
        <x:v>46018</x:v>
      </x:c>
      <x:c r="K25" s="4" t="inlineStr">
        <x:is>
          <x:t xml:space="preserve">Tracker must handle.</x:t>
        </x:is>
      </x:c>
    </x:row>
    <x:row r="26" ht="30" customHeight="1">
      <x:c r="A26" s="4" t="inlineStr">
        <x:is>
          <x:t xml:space="preserve">U-025</x:t>
        </x:is>
      </x:c>
      <x:c r="B26" s="4" t="inlineStr">
        <x:is>
          <x:t xml:space="preserve">Projects</x:t>
        </x:is>
      </x:c>
      <x:c r="C26" s="4" t="inlineStr">
        <x:is>
          <x:t xml:space="preserve">Milestone taxonomy: approvals, submissions, inspections, permits</x:t>
        </x:is>
      </x:c>
      <x:c r="D26" s="4" t="inlineStr">
        <x:is>
          <x:t xml:space="preserve">High</x:t>
        </x:is>
      </x:c>
      <x:c r="E26" s="4" t="n">
        <x:v>45</x:v>
      </x:c>
      <x:c r="F26" s="4" t="inlineStr">
        <x:is>
          <x:t xml:space="preserve">Sample schedules</x:t>
        </x:is>
      </x:c>
      <x:c r="G26" s="4" t="inlineStr">
        <x:is>
          <x:t xml:space="preserve">Assume: milestone types list with required fields + owners</x:t>
        </x:is>
      </x:c>
      <x:c r="H26" s="4" t="inlineStr">
        <x:is>
          <x:t xml:space="preserve">Yes</x:t>
        </x:is>
      </x:c>
      <x:c r="I26" s="4" t="inlineStr">
        <x:is>
          <x:t xml:space="preserve">PMO</x:t>
        </x:is>
      </x:c>
      <x:c r="J26" s="5" t="n">
        <x:v>46018</x:v>
      </x:c>
      <x:c r="K26" s="4" t="inlineStr">
        <x:is>
          <x:t xml:space="preserve">Alert engine input.</x:t>
        </x:is>
      </x:c>
    </x:row>
    <x:row r="27">
      <x:c r="A27" s="4" t="inlineStr">
        <x:is>
          <x:t xml:space="preserve">U-026</x:t>
        </x:is>
      </x:c>
      <x:c r="B27" s="4" t="inlineStr">
        <x:is>
          <x:t xml:space="preserve">Security</x:t>
        </x:is>
      </x:c>
      <x:c r="C27" s="4" t="inlineStr">
        <x:is>
          <x:t xml:space="preserve">Audit log retention period requirement</x:t>
        </x:is>
      </x:c>
      <x:c r="D27" s="4" t="inlineStr">
        <x:is>
          <x:t xml:space="preserve">High</x:t>
        </x:is>
      </x:c>
      <x:c r="E27" s="4" t="n">
        <x:v>35</x:v>
      </x:c>
      <x:c r="F27" s="4" t="inlineStr">
        <x:is>
          <x:t xml:space="preserve">IT/Compliance requirement</x:t>
        </x:is>
      </x:c>
      <x:c r="G27" s="4" t="inlineStr">
        <x:is>
          <x:t xml:space="preserve">Assume: 5 years retention with tamper-evident storage</x:t>
        </x:is>
      </x:c>
      <x:c r="H27" s="4" t="inlineStr">
        <x:is>
          <x:t xml:space="preserve">Yes</x:t>
        </x:is>
      </x:c>
      <x:c r="I27" s="4" t="inlineStr">
        <x:is>
          <x:t xml:space="preserve">Compliance</x:t>
        </x:is>
      </x:c>
      <x:c r="J27" s="5" t="n">
        <x:v>46018</x:v>
      </x:c>
      <x:c r="K27" s="4" t="inlineStr">
        <x:is>
          <x:t xml:space="preserve">Compliance.</x:t>
        </x:is>
      </x:c>
    </x:row>
    <x:row r="28">
      <x:c r="A28" s="4" t="inlineStr">
        <x:is>
          <x:t xml:space="preserve">U-027</x:t>
        </x:is>
      </x:c>
      <x:c r="B28" s="4" t="inlineStr">
        <x:is>
          <x:t xml:space="preserve">Security</x:t>
        </x:is>
      </x:c>
      <x:c r="C28" s="4" t="inlineStr">
        <x:is>
          <x:t xml:space="preserve">MFA requirement for admin roles</x:t>
        </x:is>
      </x:c>
      <x:c r="D28" s="4" t="inlineStr">
        <x:is>
          <x:t xml:space="preserve">High</x:t>
        </x:is>
      </x:c>
      <x:c r="E28" s="4" t="n">
        <x:v>60</x:v>
      </x:c>
      <x:c r="F28" s="4" t="inlineStr">
        <x:is>
          <x:t xml:space="preserve">Policy decision</x:t>
        </x:is>
      </x:c>
      <x:c r="G28" s="4" t="inlineStr">
        <x:is>
          <x:t xml:space="preserve">Assume: MFA mandatory for Super Admin/Management</x:t>
        </x:is>
      </x:c>
      <x:c r="H28" s="4" t="inlineStr">
        <x:is>
          <x:t xml:space="preserve">Yes</x:t>
        </x:is>
      </x:c>
      <x:c r="I28" s="4" t="inlineStr">
        <x:is>
          <x:t xml:space="preserve">IT Lead</x:t>
        </x:is>
      </x:c>
      <x:c r="J28" s="5" t="n">
        <x:v>46018</x:v>
      </x:c>
      <x:c r="K28" s="4" t="inlineStr">
        <x:is>
          <x:t xml:space="preserve">Hardening.</x:t>
        </x:is>
      </x:c>
    </x:row>
    <x:row r="29">
      <x:c r="A29" s="4" t="inlineStr">
        <x:is>
          <x:t xml:space="preserve">U-028</x:t>
        </x:is>
      </x:c>
      <x:c r="B29" s="4" t="inlineStr">
        <x:is>
          <x:t xml:space="preserve">Security</x:t>
        </x:is>
      </x:c>
      <x:c r="C29" s="4" t="inlineStr">
        <x:is>
          <x:t xml:space="preserve">External sharing policy (subconsultants)</x:t>
        </x:is>
      </x:c>
      <x:c r="D29" s="4" t="inlineStr">
        <x:is>
          <x:t xml:space="preserve">High</x:t>
        </x:is>
      </x:c>
      <x:c r="E29" s="4" t="n">
        <x:v>40</x:v>
      </x:c>
      <x:c r="F29" s="4" t="inlineStr">
        <x:is>
          <x:t xml:space="preserve">SOP</x:t>
        </x:is>
      </x:c>
      <x:c r="G29" s="4" t="inlineStr">
        <x:is>
          <x:t xml:space="preserve">Assume: time-bound links + watermark + NDA flag</x:t>
        </x:is>
      </x:c>
      <x:c r="H29" s="4" t="inlineStr">
        <x:is>
          <x:t xml:space="preserve">Yes</x:t>
        </x:is>
      </x:c>
      <x:c r="I29" s="4" t="inlineStr">
        <x:is>
          <x:t xml:space="preserve">Management</x:t>
        </x:is>
      </x:c>
      <x:c r="J29" s="5" t="n">
        <x:v>46018</x:v>
      </x:c>
      <x:c r="K29" s="4" t="inlineStr">
        <x:is>
          <x:t xml:space="preserve">Doc sharing.</x:t>
        </x:is>
      </x:c>
    </x:row>
    <x:row r="30">
      <x:c r="A30" s="4" t="inlineStr">
        <x:is>
          <x:t xml:space="preserve">U-029</x:t>
        </x:is>
      </x:c>
      <x:c r="B30" s="4" t="inlineStr">
        <x:is>
          <x:t xml:space="preserve">Integrations</x:t>
        </x:is>
      </x:c>
      <x:c r="C30" s="4" t="inlineStr">
        <x:is>
          <x:t xml:space="preserve">Teams/SharePoint vs file server: primary document store</x:t>
        </x:is>
      </x:c>
      <x:c r="D30" s="4" t="inlineStr">
        <x:is>
          <x:t xml:space="preserve">High</x:t>
        </x:is>
      </x:c>
      <x:c r="E30" s="4" t="n">
        <x:v>35</x:v>
      </x:c>
      <x:c r="F30" s="4" t="inlineStr">
        <x:is>
          <x:t xml:space="preserve">IT decision</x:t>
        </x:is>
      </x:c>
      <x:c r="G30" s="4" t="inlineStr">
        <x:is>
          <x:t xml:space="preserve">Assume: SharePoint/OneDrive as primary if available</x:t>
        </x:is>
      </x:c>
      <x:c r="H30" s="4" t="inlineStr">
        <x:is>
          <x:t xml:space="preserve">Yes</x:t>
        </x:is>
      </x:c>
      <x:c r="I30" s="4" t="inlineStr">
        <x:is>
          <x:t xml:space="preserve">IT Lead</x:t>
        </x:is>
      </x:c>
      <x:c r="J30" s="5" t="n">
        <x:v>46013</x:v>
      </x:c>
      <x:c r="K30" s="4" t="inlineStr">
        <x:is>
          <x:t xml:space="preserve">Impacts storage APIs.</x:t>
        </x:is>
      </x:c>
    </x:row>
    <x:row r="31">
      <x:c r="A31" s="4" t="inlineStr">
        <x:is>
          <x:t xml:space="preserve">U-030</x:t>
        </x:is>
      </x:c>
      <x:c r="B31" s="4" t="inlineStr">
        <x:is>
          <x:t xml:space="preserve">Integrations</x:t>
        </x:is>
      </x:c>
      <x:c r="C31" s="4" t="inlineStr">
        <x:is>
          <x:t xml:space="preserve">Tender portal list (ADAFSA, DOH, etc.) + access method</x:t>
        </x:is>
      </x:c>
      <x:c r="D31" s="4" t="inlineStr">
        <x:is>
          <x:t xml:space="preserve">Med</x:t>
        </x:is>
      </x:c>
      <x:c r="E31" s="4" t="n">
        <x:v>45</x:v>
      </x:c>
      <x:c r="F31" s="4" t="inlineStr">
        <x:is>
          <x:t xml:space="preserve">Portal list</x:t>
        </x:is>
      </x:c>
      <x:c r="G31" s="4" t="inlineStr">
        <x:is>
          <x:t xml:space="preserve">Assume: manual portal interaction; log only in MVP</x:t>
        </x:is>
      </x:c>
      <x:c r="H31" s="4" t="inlineStr">
        <x:is>
          <x:t xml:space="preserve">Yes</x:t>
        </x:is>
      </x:c>
      <x:c r="I31" s="4" t="inlineStr">
        <x:is>
          <x:t xml:space="preserve">BD</x:t>
        </x:is>
      </x:c>
      <x:c r="J31" s="5" t="n">
        <x:v>46018</x:v>
      </x:c>
      <x:c r="K31" s="4" t="inlineStr">
        <x:is>
          <x:t xml:space="preserve">Future automation.</x:t>
        </x:is>
      </x:c>
    </x:row>
    <x:row r="32">
      <x:c r="A32" s="4" t="inlineStr">
        <x:is>
          <x:t xml:space="preserve">U-031</x:t>
        </x:is>
      </x:c>
      <x:c r="B32" s="4" t="inlineStr">
        <x:is>
          <x:t xml:space="preserve">Performance</x:t>
        </x:is>
      </x:c>
      <x:c r="C32" s="4" t="inlineStr">
        <x:is>
          <x:t xml:space="preserve">Target max time to generate tender summary report</x:t>
        </x:is>
      </x:c>
      <x:c r="D32" s="4" t="inlineStr">
        <x:is>
          <x:t xml:space="preserve">Med</x:t>
        </x:is>
      </x:c>
      <x:c r="E32" s="4" t="n">
        <x:v>55</x:v>
      </x:c>
      <x:c r="F32" s="4" t="inlineStr">
        <x:is>
          <x:t xml:space="preserve">Mgmt expectation</x:t>
        </x:is>
      </x:c>
      <x:c r="G32" s="4" t="inlineStr">
        <x:is>
          <x:t xml:space="preserve">Assume: &lt;10 min for typical pack; &lt;30 min for large</x:t>
        </x:is>
      </x:c>
      <x:c r="H32" s="4" t="inlineStr">
        <x:is>
          <x:t xml:space="preserve">Yes</x:t>
        </x:is>
      </x:c>
      <x:c r="I32" s="4" t="inlineStr">
        <x:is>
          <x:t xml:space="preserve">Management</x:t>
        </x:is>
      </x:c>
      <x:c r="J32" s="5" t="n">
        <x:v>46018</x:v>
      </x:c>
      <x:c r="K32" s="4" t="inlineStr">
        <x:is>
          <x:t xml:space="preserve">NFR.</x:t>
        </x:is>
      </x:c>
    </x:row>
    <x:row r="33">
      <x:c r="A33" s="4" t="inlineStr">
        <x:is>
          <x:t xml:space="preserve">U-032</x:t>
        </x:is>
      </x:c>
      <x:c r="B33" s="4" t="inlineStr">
        <x:is>
          <x:t xml:space="preserve">Performance</x:t>
        </x:is>
      </x:c>
      <x:c r="C33" s="4" t="inlineStr">
        <x:is>
          <x:t xml:space="preserve">Max document size for upload (zip/pdf)</x:t>
        </x:is>
      </x:c>
      <x:c r="D33" s="4" t="inlineStr">
        <x:is>
          <x:t xml:space="preserve">Med</x:t>
        </x:is>
      </x:c>
      <x:c r="E33" s="4" t="n">
        <x:v>60</x:v>
      </x:c>
      <x:c r="F33" s="4" t="inlineStr">
        <x:is>
          <x:t xml:space="preserve">IT constraints</x:t>
        </x:is>
      </x:c>
      <x:c r="G33" s="4" t="inlineStr">
        <x:is>
          <x:t xml:space="preserve">Assume: 500MB per tender pack for MVP</x:t>
        </x:is>
      </x:c>
      <x:c r="H33" s="4" t="inlineStr">
        <x:is>
          <x:t xml:space="preserve">No</x:t>
        </x:is>
      </x:c>
      <x:c r="I33" s="4" t="inlineStr">
        <x:is>
          <x:t xml:space="preserve">Engineering</x:t>
        </x:is>
      </x:c>
      <x:c r="J33" s="5" t="n">
        <x:v>46018</x:v>
      </x:c>
      <x:c r="K33" s="4" t="inlineStr">
        <x:is>
          <x:t xml:space="preserve">Tune later.</x:t>
        </x:is>
      </x:c>
    </x:row>
    <x:row r="34" ht="30" customHeight="1">
      <x:c r="A34" s="4" t="inlineStr">
        <x:is>
          <x:t xml:space="preserve">U-033</x:t>
        </x:is>
      </x:c>
      <x:c r="B34" s="4" t="inlineStr">
        <x:is>
          <x:t xml:space="preserve">UI/UX</x:t>
        </x:is>
      </x:c>
      <x:c r="C34" s="4" t="inlineStr">
        <x:is>
          <x:t xml:space="preserve">Required views: table vs kanban vs calendar vs Gantt</x:t>
        </x:is>
      </x:c>
      <x:c r="D34" s="4" t="inlineStr">
        <x:is>
          <x:t xml:space="preserve">Med</x:t>
        </x:is>
      </x:c>
      <x:c r="E34" s="4" t="n">
        <x:v>55</x:v>
      </x:c>
      <x:c r="F34" s="4" t="inlineStr">
        <x:is>
          <x:t xml:space="preserve">User feedback</x:t>
        </x:is>
      </x:c>
      <x:c r="G34" s="4" t="inlineStr">
        <x:is>
          <x:t xml:space="preserve">Assume: table+kanban for tenders; table+timeline for projects</x:t>
        </x:is>
      </x:c>
      <x:c r="H34" s="4" t="inlineStr">
        <x:is>
          <x:t xml:space="preserve">Yes</x:t>
        </x:is>
      </x:c>
      <x:c r="I34" s="4" t="inlineStr">
        <x:is>
          <x:t xml:space="preserve">Moe</x:t>
        </x:is>
      </x:c>
      <x:c r="J34" s="5" t="n">
        <x:v>46018</x:v>
      </x:c>
      <x:c r="K34" s="4" t="inlineStr">
        <x:is>
          <x:t xml:space="preserve">MVP UX.</x:t>
        </x:is>
      </x:c>
    </x:row>
    <x:row r="35">
      <x:c r="A35" s="4" t="inlineStr">
        <x:is>
          <x:t xml:space="preserve">U-034</x:t>
        </x:is>
      </x:c>
      <x:c r="B35" s="4" t="inlineStr">
        <x:is>
          <x:t xml:space="preserve">UI/UX</x:t>
        </x:is>
      </x:c>
      <x:c r="C35" s="4" t="inlineStr">
        <x:is>
          <x:t xml:space="preserve">Mobile requirements (view-only vs full)</x:t>
        </x:is>
      </x:c>
      <x:c r="D35" s="4" t="inlineStr">
        <x:is>
          <x:t xml:space="preserve">Low</x:t>
        </x:is>
      </x:c>
      <x:c r="E35" s="4" t="n">
        <x:v>45</x:v>
      </x:c>
      <x:c r="F35" s="4" t="inlineStr">
        <x:is>
          <x:t xml:space="preserve">Mgmt decision</x:t>
        </x:is>
      </x:c>
      <x:c r="G35" s="4" t="inlineStr">
        <x:is>
          <x:t xml:space="preserve">Assume: responsive web; mobile later</x:t>
        </x:is>
      </x:c>
      <x:c r="H35" s="4" t="inlineStr">
        <x:is>
          <x:t xml:space="preserve">No</x:t>
        </x:is>
      </x:c>
      <x:c r="I35" s="4" t="inlineStr">
        <x:is>
          <x:t xml:space="preserve">Management</x:t>
        </x:is>
      </x:c>
      <x:c r="J35" s="5" t="n">
        <x:v>46018</x:v>
      </x:c>
      <x:c r="K35" s="4" t="inlineStr">
        <x:is>
          <x:t xml:space="preserve">Defer.</x:t>
        </x:is>
      </x:c>
    </x:row>
    <x:row r="36" ht="30" customHeight="1">
      <x:c r="A36" s="4" t="inlineStr">
        <x:is>
          <x:t xml:space="preserve">U-035</x:t>
        </x:is>
      </x:c>
      <x:c r="B36" s="4" t="inlineStr">
        <x:is>
          <x:t xml:space="preserve">Data</x:t>
        </x:is>
      </x:c>
      <x:c r="C36" s="4" t="inlineStr">
        <x:is>
          <x:t xml:space="preserve">Unique IDs: project_code and tender_code format + constraints</x:t>
        </x:is>
      </x:c>
      <x:c r="D36" s="4" t="inlineStr">
        <x:is>
          <x:t xml:space="preserve">High</x:t>
        </x:is>
      </x:c>
      <x:c r="E36" s="4" t="n">
        <x:v>55</x:v>
      </x:c>
      <x:c r="F36" s="4" t="inlineStr">
        <x:is>
          <x:t xml:space="preserve">Existing codes</x:t>
        </x:is>
      </x:c>
      <x:c r="G36" s="4" t="inlineStr">
        <x:is>
          <x:t xml:space="preserve">Assume: preserve existing; create mapping for imports</x:t>
        </x:is>
      </x:c>
      <x:c r="H36" s="4" t="inlineStr">
        <x:is>
          <x:t xml:space="preserve">Yes</x:t>
        </x:is>
      </x:c>
      <x:c r="I36" s="4" t="inlineStr">
        <x:is>
          <x:t xml:space="preserve">PMO</x:t>
        </x:is>
      </x:c>
      <x:c r="J36" s="5" t="n">
        <x:v>46018</x:v>
      </x:c>
      <x:c r="K36" s="4" t="inlineStr">
        <x:is>
          <x:t xml:space="preserve">Import success.</x:t>
        </x:is>
      </x:c>
    </x:row>
    <x:row r="37" ht="30" customHeight="1">
      <x:c r="A37" s="4" t="inlineStr">
        <x:is>
          <x:t xml:space="preserve">U-036</x:t>
        </x:is>
      </x:c>
      <x:c r="B37" s="4" t="inlineStr">
        <x:is>
          <x:t xml:space="preserve">Data</x:t>
        </x:is>
      </x:c>
      <x:c r="C37" s="4" t="inlineStr">
        <x:is>
          <x:t xml:space="preserve">Required fields for tender follow-up log</x:t>
        </x:is>
      </x:c>
      <x:c r="D37" s="4" t="inlineStr">
        <x:is>
          <x:t xml:space="preserve">Med</x:t>
        </x:is>
      </x:c>
      <x:c r="E37" s="4" t="n">
        <x:v>60</x:v>
      </x:c>
      <x:c r="F37" s="4" t="inlineStr">
        <x:is>
          <x:t xml:space="preserve">Example log</x:t>
        </x:is>
      </x:c>
      <x:c r="G37" s="4" t="inlineStr">
        <x:is>
          <x:t xml:space="preserve">Assume: who contacted, channel, outcome, next date, attachments</x:t>
        </x:is>
      </x:c>
      <x:c r="H37" s="4" t="inlineStr">
        <x:is>
          <x:t xml:space="preserve">Yes</x:t>
        </x:is>
      </x:c>
      <x:c r="I37" s="4" t="inlineStr">
        <x:is>
          <x:t xml:space="preserve">BD</x:t>
        </x:is>
      </x:c>
      <x:c r="J37" s="5" t="n">
        <x:v>46018</x:v>
      </x:c>
      <x:c r="K37" s="4" t="inlineStr">
        <x:is>
          <x:t xml:space="preserve">Quick win feature.</x:t>
        </x:is>
      </x:c>
    </x:row>
    <x:row r="38" ht="30" customHeight="1">
      <x:c r="A38" s="4" t="inlineStr">
        <x:is>
          <x:t xml:space="preserve">U-037</x:t>
        </x:is>
      </x:c>
      <x:c r="B38" s="4" t="inlineStr">
        <x:is>
          <x:t xml:space="preserve">Finance</x:t>
        </x:is>
      </x:c>
      <x:c r="C38" s="4" t="inlineStr">
        <x:is>
          <x:t xml:space="preserve">Commercial confidentiality boundary between Finance and Engineering</x:t>
        </x:is>
      </x:c>
      <x:c r="D38" s="4" t="inlineStr">
        <x:is>
          <x:t xml:space="preserve">High</x:t>
        </x:is>
      </x:c>
      <x:c r="E38" s="4" t="n">
        <x:v>40</x:v>
      </x:c>
      <x:c r="F38" s="4" t="inlineStr">
        <x:is>
          <x:t xml:space="preserve">Policy decision</x:t>
        </x:is>
      </x:c>
      <x:c r="G38" s="4" t="inlineStr">
        <x:is>
          <x:t xml:space="preserve">Assume: engineering sees high-level fee totals only; finance sees breakdown</x:t>
        </x:is>
      </x:c>
      <x:c r="H38" s="4" t="inlineStr">
        <x:is>
          <x:t xml:space="preserve">Yes</x:t>
        </x:is>
      </x:c>
      <x:c r="I38" s="4" t="inlineStr">
        <x:is>
          <x:t xml:space="preserve">Management</x:t>
        </x:is>
      </x:c>
      <x:c r="J38" s="5" t="n">
        <x:v>46018</x:v>
      </x:c>
      <x:c r="K38" s="4" t="inlineStr">
        <x:is>
          <x:t xml:space="preserve">RBAC.</x:t>
        </x:is>
      </x:c>
    </x:row>
    <x:row r="39">
      <x:c r="A39" s="4" t="inlineStr">
        <x:is>
          <x:t xml:space="preserve">U-038</x:t>
        </x:is>
      </x:c>
      <x:c r="B39" s="4" t="inlineStr">
        <x:is>
          <x:t xml:space="preserve">HR</x:t>
        </x:is>
      </x:c>
      <x:c r="C39" s="4" t="inlineStr">
        <x:is>
          <x:t xml:space="preserve">Timesheets expectation: do we track time per task?</x:t>
        </x:is>
      </x:c>
      <x:c r="D39" s="4" t="inlineStr">
        <x:is>
          <x:t xml:space="preserve">Med</x:t>
        </x:is>
      </x:c>
      <x:c r="E39" s="4" t="n">
        <x:v>45</x:v>
      </x:c>
      <x:c r="F39" s="4" t="inlineStr">
        <x:is>
          <x:t xml:space="preserve">HR process</x:t>
        </x:is>
      </x:c>
      <x:c r="G39" s="4" t="inlineStr">
        <x:is>
          <x:t xml:space="preserve">Assume: track time per task for cost centers (MVP optional)</x:t>
        </x:is>
      </x:c>
      <x:c r="H39" s="4" t="inlineStr">
        <x:is>
          <x:t xml:space="preserve">Yes</x:t>
        </x:is>
      </x:c>
      <x:c r="I39" s="4" t="inlineStr">
        <x:is>
          <x:t xml:space="preserve">HR</x:t>
        </x:is>
      </x:c>
      <x:c r="J39" s="5" t="n">
        <x:v>46018</x:v>
      </x:c>
      <x:c r="K39" s="4" t="inlineStr">
        <x:is>
          <x:t xml:space="preserve">Later module.</x:t>
        </x:is>
      </x:c>
    </x:row>
    <x:row r="40" ht="30" customHeight="1">
      <x:c r="A40" s="4" t="inlineStr">
        <x:is>
          <x:t xml:space="preserve">U-039</x:t>
        </x:is>
      </x:c>
      <x:c r="B40" s="4" t="inlineStr">
        <x:is>
          <x:t xml:space="preserve">BI</x:t>
        </x:is>
      </x:c>
      <x:c r="C40" s="4" t="inlineStr">
        <x:is>
          <x:t xml:space="preserve">KPI definitions: tender win rate, cycle time, margin, utilization</x:t>
        </x:is>
      </x:c>
      <x:c r="D40" s="4" t="inlineStr">
        <x:is>
          <x:t xml:space="preserve">High</x:t>
        </x:is>
      </x:c>
      <x:c r="E40" s="4" t="n">
        <x:v>45</x:v>
      </x:c>
      <x:c r="F40" s="4" t="inlineStr">
        <x:is>
          <x:t xml:space="preserve">KPI list</x:t>
        </x:is>
      </x:c>
      <x:c r="G40" s="4" t="inlineStr">
        <x:is>
          <x:t xml:space="preserve">Assume: define KPIs in docs + calc formulas</x:t>
        </x:is>
      </x:c>
      <x:c r="H40" s="4" t="inlineStr">
        <x:is>
          <x:t xml:space="preserve">Yes</x:t>
        </x:is>
      </x:c>
      <x:c r="I40" s="4" t="inlineStr">
        <x:is>
          <x:t xml:space="preserve">Management</x:t>
        </x:is>
      </x:c>
      <x:c r="J40" s="5" t="n">
        <x:v>46018</x:v>
      </x:c>
      <x:c r="K40" s="4" t="inlineStr">
        <x:is>
          <x:t xml:space="preserve">Dashboards.</x:t>
        </x:is>
      </x:c>
    </x:row>
    <x:row r="41">
      <x:c r="A41" s="4" t="inlineStr">
        <x:is>
          <x:t xml:space="preserve">U-040</x:t>
        </x:is>
      </x:c>
      <x:c r="B41" s="4" t="inlineStr">
        <x:is>
          <x:t xml:space="preserve">Docs/RAG</x:t>
        </x:is>
      </x:c>
      <x:c r="C41" s="4" t="inlineStr">
        <x:is>
          <x:t xml:space="preserve">Ground-truth evaluation: who scores summaries and how</x:t>
        </x:is>
      </x:c>
      <x:c r="D41" s="4" t="inlineStr">
        <x:is>
          <x:t xml:space="preserve">Med</x:t>
        </x:is>
      </x:c>
      <x:c r="E41" s="4" t="n">
        <x:v>50</x:v>
      </x:c>
      <x:c r="F41" s="4" t="inlineStr">
        <x:is>
          <x:t xml:space="preserve">Eval rubric</x:t>
        </x:is>
      </x:c>
      <x:c r="G41" s="4" t="inlineStr">
        <x:is>
          <x:t xml:space="preserve">Assume: 1–10 rubric + comments; weekly review</x:t>
        </x:is>
      </x:c>
      <x:c r="H41" s="4" t="inlineStr">
        <x:is>
          <x:t xml:space="preserve">Yes</x:t>
        </x:is>
      </x:c>
      <x:c r="I41" s="4" t="inlineStr">
        <x:is>
          <x:t xml:space="preserve">QA/QC</x:t>
        </x:is>
      </x:c>
      <x:c r="J41" s="5" t="n">
        <x:v>46018</x:v>
      </x:c>
      <x:c r="K41" s="4" t="inlineStr">
        <x:is>
          <x:t xml:space="preserve">Recursion loops.</x:t>
        </x:is>
      </x:c>
    </x:row>
    <x:row r="42" ht="30" customHeight="1">
      <x:c r="A42" s="4" t="inlineStr">
        <x:is>
          <x:t xml:space="preserve">U-041</x:t>
        </x:is>
      </x:c>
      <x:c r="B42" s="4" t="inlineStr">
        <x:is>
          <x:t xml:space="preserve">Docs/RAG</x:t>
        </x:is>
      </x:c>
      <x:c r="C42" s="4" t="inlineStr">
        <x:is>
          <x:t xml:space="preserve">Hallucination controls: what is acceptable inference vs must-cite</x:t>
        </x:is>
      </x:c>
      <x:c r="D42" s="4" t="inlineStr">
        <x:is>
          <x:t xml:space="preserve">High</x:t>
        </x:is>
      </x:c>
      <x:c r="E42" s="4" t="n">
        <x:v>45</x:v>
      </x:c>
      <x:c r="F42" s="4" t="inlineStr">
        <x:is>
          <x:t xml:space="preserve">Policy</x:t>
        </x:is>
      </x:c>
      <x:c r="G42" s="4" t="inlineStr">
        <x:is>
          <x:t xml:space="preserve">Assume: anything contractual must cite; unknowns flagged</x:t>
        </x:is>
      </x:c>
      <x:c r="H42" s="4" t="inlineStr">
        <x:is>
          <x:t xml:space="preserve">Yes</x:t>
        </x:is>
      </x:c>
      <x:c r="I42" s="4" t="inlineStr">
        <x:is>
          <x:t xml:space="preserve">Compliance</x:t>
        </x:is>
      </x:c>
      <x:c r="J42" s="5" t="n">
        <x:v>46013</x:v>
      </x:c>
      <x:c r="K42" s="4" t="inlineStr">
        <x:is>
          <x:t xml:space="preserve">Critical.</x:t>
        </x:is>
      </x:c>
    </x:row>
    <x:row r="43">
      <x:c r="A43" s="4" t="inlineStr">
        <x:is>
          <x:t xml:space="preserve">U-042</x:t>
        </x:is>
      </x:c>
      <x:c r="B43" s="4" t="inlineStr">
        <x:is>
          <x:t xml:space="preserve">Ops</x:t>
        </x:is>
      </x:c>
      <x:c r="C43" s="4" t="inlineStr">
        <x:is>
          <x:t xml:space="preserve">Approval workflow for tender submission package</x:t>
        </x:is>
      </x:c>
      <x:c r="D43" s="4" t="inlineStr">
        <x:is>
          <x:t xml:space="preserve">High</x:t>
        </x:is>
      </x:c>
      <x:c r="E43" s="4" t="n">
        <x:v>45</x:v>
      </x:c>
      <x:c r="F43" s="4" t="inlineStr">
        <x:is>
          <x:t xml:space="preserve">SOP</x:t>
        </x:is>
      </x:c>
      <x:c r="G43" s="4" t="inlineStr">
        <x:is>
          <x:t xml:space="preserve">Assume: discipline sign-off → PMO QA → VP approval</x:t>
        </x:is>
      </x:c>
      <x:c r="H43" s="4" t="inlineStr">
        <x:is>
          <x:t xml:space="preserve">Yes</x:t>
        </x:is>
      </x:c>
      <x:c r="I43" s="4" t="inlineStr">
        <x:is>
          <x:t xml:space="preserve">Management</x:t>
        </x:is>
      </x:c>
      <x:c r="J43" s="5" t="n">
        <x:v>46018</x:v>
      </x:c>
      <x:c r="K43" s="4" t="inlineStr">
        <x:is>
          <x:t xml:space="preserve">Workflow engine.</x:t>
        </x:is>
      </x:c>
    </x:row>
    <x:row r="44" ht="30" customHeight="1">
      <x:c r="A44" s="4" t="inlineStr">
        <x:is>
          <x:t xml:space="preserve">U-043</x:t>
        </x:is>
      </x:c>
      <x:c r="B44" s="4" t="inlineStr">
        <x:is>
          <x:t xml:space="preserve">Ops</x:t>
        </x:is>
      </x:c>
      <x:c r="C44" s="4" t="inlineStr">
        <x:is>
          <x:t xml:space="preserve">What constitutes 'quality' tender: scoring rubric criteria</x:t>
        </x:is>
      </x:c>
      <x:c r="D44" s="4" t="inlineStr">
        <x:is>
          <x:t xml:space="preserve">High</x:t>
        </x:is>
      </x:c>
      <x:c r="E44" s="4" t="n">
        <x:v>40</x:v>
      </x:c>
      <x:c r="F44" s="4" t="inlineStr">
        <x:is>
          <x:t xml:space="preserve">Management rubric</x:t>
        </x:is>
      </x:c>
      <x:c r="G44" s="4" t="inlineStr">
        <x:is>
          <x:t xml:space="preserve">Assume: compliance, clarity, differentiation, methodology, visuals</x:t>
        </x:is>
      </x:c>
      <x:c r="H44" s="4" t="inlineStr">
        <x:is>
          <x:t xml:space="preserve">Yes</x:t>
        </x:is>
      </x:c>
      <x:c r="I44" s="4" t="inlineStr">
        <x:is>
          <x:t xml:space="preserve">Management</x:t>
        </x:is>
      </x:c>
      <x:c r="J44" s="5" t="n">
        <x:v>46018</x:v>
      </x:c>
      <x:c r="K44" s="4" t="inlineStr">
        <x:is>
          <x:t xml:space="preserve">Optimization mega project.</x:t>
        </x:is>
      </x:c>
    </x:row>
    <x:row r="45">
      <x:c r="A45" s="4" t="inlineStr">
        <x:is>
          <x:t xml:space="preserve">U-044</x:t>
        </x:is>
      </x:c>
      <x:c r="B45" s="4" t="inlineStr">
        <x:is>
          <x:t xml:space="preserve">Docs</x:t>
        </x:is>
      </x:c>
      <x:c r="C45" s="4" t="inlineStr">
        <x:is>
          <x:t xml:space="preserve">Template repository location + access rights</x:t>
        </x:is>
      </x:c>
      <x:c r="D45" s="4" t="inlineStr">
        <x:is>
          <x:t xml:space="preserve">Med</x:t>
        </x:is>
      </x:c>
      <x:c r="E45" s="4" t="n">
        <x:v>55</x:v>
      </x:c>
      <x:c r="F45" s="4" t="inlineStr">
        <x:is>
          <x:t xml:space="preserve">Current template folders</x:t>
        </x:is>
      </x:c>
      <x:c r="G45" s="4" t="inlineStr">
        <x:is>
          <x:t xml:space="preserve">Assume: central templates vault with version control</x:t>
        </x:is>
      </x:c>
      <x:c r="H45" s="4" t="inlineStr">
        <x:is>
          <x:t xml:space="preserve">Yes</x:t>
        </x:is>
      </x:c>
      <x:c r="I45" s="4" t="inlineStr">
        <x:is>
          <x:t xml:space="preserve">PMO</x:t>
        </x:is>
      </x:c>
      <x:c r="J45" s="5" t="n">
        <x:v>46018</x:v>
      </x:c>
      <x:c r="K45" s="4" t="inlineStr">
        <x:is>
          <x:t xml:space="preserve">Governance.</x:t>
        </x:is>
      </x:c>
    </x:row>
    <x:row r="46">
      <x:c r="A46" s="4" t="inlineStr">
        <x:is>
          <x:t xml:space="preserve">U-045</x:t>
        </x:is>
      </x:c>
      <x:c r="B46" s="4" t="inlineStr">
        <x:is>
          <x:t xml:space="preserve">Ops</x:t>
        </x:is>
      </x:c>
      <x:c r="C46" s="4" t="inlineStr">
        <x:is>
          <x:t xml:space="preserve">Standard response SLA to client emails</x:t>
        </x:is>
      </x:c>
      <x:c r="D46" s="4" t="inlineStr">
        <x:is>
          <x:t xml:space="preserve">Med</x:t>
        </x:is>
      </x:c>
      <x:c r="E46" s="4" t="n">
        <x:v>55</x:v>
      </x:c>
      <x:c r="F46" s="4" t="inlineStr">
        <x:is>
          <x:t xml:space="preserve">Policy</x:t>
        </x:is>
      </x:c>
      <x:c r="G46" s="4" t="inlineStr">
        <x:is>
          <x:t xml:space="preserve">Assume: 24h business days for external; 4h internal</x:t>
        </x:is>
      </x:c>
      <x:c r="H46" s="4" t="inlineStr">
        <x:is>
          <x:t xml:space="preserve">Yes</x:t>
        </x:is>
      </x:c>
      <x:c r="I46" s="4" t="inlineStr">
        <x:is>
          <x:t xml:space="preserve">Management</x:t>
        </x:is>
      </x:c>
      <x:c r="J46" s="5" t="n">
        <x:v>46018</x:v>
      </x:c>
      <x:c r="K46" s="4" t="inlineStr">
        <x:is>
          <x:t xml:space="preserve">Notification rules.</x:t>
        </x:is>
      </x:c>
    </x:row>
    <x:row r="47">
      <x:c r="A47" s="4" t="inlineStr">
        <x:is>
          <x:t xml:space="preserve">U-046</x:t>
        </x:is>
      </x:c>
      <x:c r="B47" s="4" t="inlineStr">
        <x:is>
          <x:t xml:space="preserve">AI Ops</x:t>
        </x:is>
      </x:c>
      <x:c r="C47" s="4" t="inlineStr">
        <x:is>
          <x:t xml:space="preserve">Prompt/version management approach (registry)</x:t>
        </x:is>
      </x:c>
      <x:c r="D47" s="4" t="inlineStr">
        <x:is>
          <x:t xml:space="preserve">Med</x:t>
        </x:is>
      </x:c>
      <x:c r="E47" s="4" t="n">
        <x:v>55</x:v>
      </x:c>
      <x:c r="F47" s="4" t="inlineStr">
        <x:is>
          <x:t xml:space="preserve">Decision</x:t>
        </x:is>
      </x:c>
      <x:c r="G47" s="4" t="inlineStr">
        <x:is>
          <x:t xml:space="preserve">Assume: prompts/ folder + semantic versions + changelog</x:t>
        </x:is>
      </x:c>
      <x:c r="H47" s="4" t="inlineStr">
        <x:is>
          <x:t xml:space="preserve">No</x:t>
        </x:is>
      </x:c>
      <x:c r="I47" s="4" t="inlineStr">
        <x:is>
          <x:t xml:space="preserve">Engineering</x:t>
        </x:is>
      </x:c>
      <x:c r="J47" s="5" t="n">
        <x:v>46018</x:v>
      </x:c>
      <x:c r="K47" s="4" t="inlineStr">
        <x:is>
          <x:t xml:space="preserve">Implement soon.</x:t>
        </x:is>
      </x:c>
    </x:row>
    <x:row r="48" ht="30" customHeight="1">
      <x:c r="A48" s="4" t="inlineStr">
        <x:is>
          <x:t xml:space="preserve">U-047</x:t>
        </x:is>
      </x:c>
      <x:c r="B48" s="4" t="inlineStr">
        <x:is>
          <x:t xml:space="preserve">AI Ops</x:t>
        </x:is>
      </x:c>
      <x:c r="C48" s="4" t="inlineStr">
        <x:is>
          <x:t xml:space="preserve">Model selection per task (summaries vs extraction vs codegen)</x:t>
        </x:is>
      </x:c>
      <x:c r="D48" s="4" t="inlineStr">
        <x:is>
          <x:t xml:space="preserve">Med</x:t>
        </x:is>
      </x:c>
      <x:c r="E48" s="4" t="n">
        <x:v>50</x:v>
      </x:c>
      <x:c r="F48" s="4" t="inlineStr">
        <x:is>
          <x:t xml:space="preserve">Benchmarks</x:t>
        </x:is>
      </x:c>
      <x:c r="G48" s="4" t="inlineStr">
        <x:is>
          <x:t xml:space="preserve">Assume: extraction uses deterministic settings; codegen separate</x:t>
        </x:is>
      </x:c>
      <x:c r="H48" s="4" t="inlineStr">
        <x:is>
          <x:t xml:space="preserve">No</x:t>
        </x:is>
      </x:c>
      <x:c r="I48" s="4" t="inlineStr">
        <x:is>
          <x:t xml:space="preserve">Engineering</x:t>
        </x:is>
      </x:c>
      <x:c r="J48" s="5" t="n">
        <x:v>46018</x:v>
      </x:c>
      <x:c r="K48" s="4" t="inlineStr">
        <x:is>
          <x:t xml:space="preserve">Optimize later.</x:t>
        </x:is>
      </x:c>
    </x:row>
    <x:row r="49">
      <x:c r="A49" s="4" t="inlineStr">
        <x:is>
          <x:t xml:space="preserve">U-048</x:t>
        </x:is>
      </x:c>
      <x:c r="B49" s="4" t="inlineStr">
        <x:is>
          <x:t xml:space="preserve">Compliance</x:t>
        </x:is>
      </x:c>
      <x:c r="C49" s="4" t="inlineStr">
        <x:is>
          <x:t xml:space="preserve">Need for redaction before sending docs to LLMs</x:t>
        </x:is>
      </x:c>
      <x:c r="D49" s="4" t="inlineStr">
        <x:is>
          <x:t xml:space="preserve">High</x:t>
        </x:is>
      </x:c>
      <x:c r="E49" s="4" t="n">
        <x:v>35</x:v>
      </x:c>
      <x:c r="F49" s="4" t="inlineStr">
        <x:is>
          <x:t xml:space="preserve">Policy</x:t>
        </x:is>
      </x:c>
      <x:c r="G49" s="4" t="inlineStr">
        <x:is>
          <x:t xml:space="preserve">Assume: auto-redact PII/IDs for Restricted docs</x:t>
        </x:is>
      </x:c>
      <x:c r="H49" s="4" t="inlineStr">
        <x:is>
          <x:t xml:space="preserve">Yes</x:t>
        </x:is>
      </x:c>
      <x:c r="I49" s="4" t="inlineStr">
        <x:is>
          <x:t xml:space="preserve">Compliance</x:t>
        </x:is>
      </x:c>
      <x:c r="J49" s="5" t="n">
        <x:v>46013</x:v>
      </x:c>
      <x:c r="K49" s="4" t="inlineStr">
        <x:is>
          <x:t xml:space="preserve">High stakes.</x:t>
        </x:is>
      </x:c>
    </x:row>
    <x:row r="50" ht="30" customHeight="1">
      <x:c r="A50" s="4" t="inlineStr">
        <x:is>
          <x:t xml:space="preserve">U-049</x:t>
        </x:is>
      </x:c>
      <x:c r="B50" s="4" t="inlineStr">
        <x:is>
          <x:t xml:space="preserve">Compliance</x:t>
        </x:is>
      </x:c>
      <x:c r="C50" s="4" t="inlineStr">
        <x:is>
          <x:t xml:space="preserve">Consent + lawful basis tracking for personal data in HR docs</x:t>
        </x:is>
      </x:c>
      <x:c r="D50" s="4" t="inlineStr">
        <x:is>
          <x:t xml:space="preserve">High</x:t>
        </x:is>
      </x:c>
      <x:c r="E50" s="4" t="n">
        <x:v>35</x:v>
      </x:c>
      <x:c r="F50" s="4" t="inlineStr">
        <x:is>
          <x:t xml:space="preserve">Legal guidance</x:t>
        </x:is>
      </x:c>
      <x:c r="G50" s="4" t="inlineStr">
        <x:is>
          <x:t xml:space="preserve">Assume: consent records stored; access logged</x:t>
        </x:is>
      </x:c>
      <x:c r="H50" s="4" t="inlineStr">
        <x:is>
          <x:t xml:space="preserve">Yes</x:t>
        </x:is>
      </x:c>
      <x:c r="I50" s="4" t="inlineStr">
        <x:is>
          <x:t xml:space="preserve">HR/Compliance</x:t>
        </x:is>
      </x:c>
      <x:c r="J50" s="5" t="n">
        <x:v>46018</x:v>
      </x:c>
      <x:c r="K50" s="4" t="inlineStr">
        <x:is>
          <x:t xml:space="preserve">PDPL alignment.</x:t>
        </x:is>
      </x:c>
    </x:row>
    <x:row r="51">
      <x:c r="A51" s="4" t="inlineStr">
        <x:is>
          <x:t xml:space="preserve">U-050</x:t>
        </x:is>
      </x:c>
      <x:c r="B51" s="4" t="inlineStr">
        <x:is>
          <x:t xml:space="preserve">Deployment</x:t>
        </x:is>
      </x:c>
      <x:c r="C51" s="4" t="inlineStr">
        <x:is>
          <x:t xml:space="preserve">Backup + DR requirements (RPO/RTO)</x:t>
        </x:is>
      </x:c>
      <x:c r="D51" s="4" t="inlineStr">
        <x:is>
          <x:t xml:space="preserve">High</x:t>
        </x:is>
      </x:c>
      <x:c r="E51" s="4" t="n">
        <x:v>40</x:v>
      </x:c>
      <x:c r="F51" s="4" t="inlineStr">
        <x:is>
          <x:t xml:space="preserve">IT policy</x:t>
        </x:is>
      </x:c>
      <x:c r="G51" s="4" t="inlineStr">
        <x:is>
          <x:t xml:space="preserve">Assume: daily backups; RPO 24h; RTO 8h for MVP</x:t>
        </x:is>
      </x:c>
      <x:c r="H51" s="4" t="inlineStr">
        <x:is>
          <x:t xml:space="preserve">Yes</x:t>
        </x:is>
      </x:c>
      <x:c r="I51" s="4" t="inlineStr">
        <x:is>
          <x:t xml:space="preserve">IT Lead</x:t>
        </x:is>
      </x:c>
      <x:c r="J51" s="5" t="n">
        <x:v>46018</x:v>
      </x:c>
      <x:c r="K51" s="4" t="inlineStr">
        <x:is>
          <x:t xml:space="preserve">Production readiness.</x:t>
        </x:is>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customWidth="1"/>
    <x:col min="2" max="2" width="55" customWidth="1"/>
    <x:col min="3" max="3" width="39" customWidth="1"/>
    <x:col min="4" max="4" width="33" customWidth="1"/>
    <x:col min="5" max="5" width="43" customWidth="1"/>
    <x:col min="6" max="6" width="10" customWidth="1"/>
    <x:col min="7" max="7" width="13" customWidth="1"/>
    <x:col min="8" max="8" width="29" customWidth="1"/>
  </x:cols>
  <x:sheetData>
    <x:row r="1" ht="30" customHeight="1">
      <x:c r="A1" s="3" t="inlineStr">
        <x:is>
          <x:t xml:space="preserve">ID</x:t>
        </x:is>
      </x:c>
      <x:c r="B1" s="3" t="inlineStr">
        <x:is>
          <x:t xml:space="preserve">Assumption</x:t>
        </x:is>
      </x:c>
      <x:c r="C1" s="3" t="inlineStr">
        <x:is>
          <x:t xml:space="preserve">Rationale</x:t>
        </x:is>
      </x:c>
      <x:c r="D1" s="3" t="inlineStr">
        <x:is>
          <x:t xml:space="preserve">Risk_if_wrong</x:t>
        </x:is>
      </x:c>
      <x:c r="E1" s="3" t="inlineStr">
        <x:is>
          <x:t xml:space="preserve">Validation_method</x:t>
        </x:is>
      </x:c>
      <x:c r="F1" s="3" t="inlineStr">
        <x:is>
          <x:t xml:space="preserve">Status</x:t>
        </x:is>
      </x:c>
      <x:c r="G1" s="3" t="inlineStr">
        <x:is>
          <x:t xml:space="preserve">Owner</x:t>
        </x:is>
      </x:c>
      <x:c r="H1" s="3" t="inlineStr">
        <x:is>
          <x:t xml:space="preserve">Notes</x:t>
        </x:is>
      </x:c>
    </x:row>
    <x:row r="2" ht="30" customHeight="1">
      <x:c r="A2" s="4" t="inlineStr">
        <x:is>
          <x:t xml:space="preserve">A-001</x:t>
        </x:is>
      </x:c>
      <x:c r="B2" s="4" t="inlineStr">
        <x:is>
          <x:t xml:space="preserve">MCE needs 3 quick wins within 2 weeks: Project Tracker, Tender Tracker, Tender Optimization starter.</x:t>
        </x:is>
      </x:c>
      <x:c r="C2" s="4" t="inlineStr">
        <x:is>
          <x:t xml:space="preserve">Vice Chairman request; visible value.</x:t>
        </x:is>
      </x:c>
      <x:c r="D2" s="4" t="inlineStr">
        <x:is>
          <x:t xml:space="preserve">Scope creep delays MVP.</x:t>
        </x:is>
      </x:c>
      <x:c r="E2" s="4" t="inlineStr">
        <x:is>
          <x:t xml:space="preserve">Confirm priorities in 30-min alignment.</x:t>
        </x:is>
      </x:c>
      <x:c r="F2" s="4" t="inlineStr">
        <x:is>
          <x:t xml:space="preserve">Proposed</x:t>
        </x:is>
      </x:c>
      <x:c r="G2" s="4" t="inlineStr">
        <x:is>
          <x:t xml:space="preserve">Moe</x:t>
        </x:is>
      </x:c>
      <x:c r="H2" s="4" t="inlineStr">
        <x:is>
          <x:t xml:space="preserve">Lock sprint 0 backlog.</x:t>
        </x:is>
      </x:c>
    </x:row>
    <x:row r="3" ht="30" customHeight="1">
      <x:c r="A3" s="4" t="inlineStr">
        <x:is>
          <x:t xml:space="preserve">A-002</x:t>
        </x:is>
      </x:c>
      <x:c r="B3" s="4" t="inlineStr">
        <x:is>
          <x:t xml:space="preserve">Initial deployment will be Docker Compose on a single VM; CI/CD later.</x:t>
        </x:is>
      </x:c>
      <x:c r="C3" s="4" t="inlineStr">
        <x:is>
          <x:t xml:space="preserve">Fastest to ship.</x:t>
        </x:is>
      </x:c>
      <x:c r="D3" s="4" t="inlineStr">
        <x:is>
          <x:t xml:space="preserve">May conflict with IT standards.</x:t>
        </x:is>
      </x:c>
      <x:c r="E3" s="4" t="inlineStr">
        <x:is>
          <x:t xml:space="preserve">Confirm with IT; check network + backups.</x:t>
        </x:is>
      </x:c>
      <x:c r="F3" s="4" t="inlineStr">
        <x:is>
          <x:t xml:space="preserve">Proposed</x:t>
        </x:is>
      </x:c>
      <x:c r="G3" s="4" t="inlineStr">
        <x:is>
          <x:t xml:space="preserve">IT Lead</x:t>
        </x:is>
      </x:c>
      <x:c r="H3" s="4" t="inlineStr">
        <x:is>
          <x:t xml:space="preserve">K8s roadmap optional.</x:t>
        </x:is>
      </x:c>
    </x:row>
    <x:row r="4" ht="30" customHeight="1">
      <x:c r="A4" s="4" t="inlineStr">
        <x:is>
          <x:t xml:space="preserve">A-003</x:t>
        </x:is>
      </x:c>
      <x:c r="B4" s="4" t="inlineStr">
        <x:is>
          <x:t xml:space="preserve">Default doc classification is Confidential; Restricted for finance/PII/health.</x:t>
        </x:is>
      </x:c>
      <x:c r="C4" s="4" t="inlineStr">
        <x:is>
          <x:t xml:space="preserve">Risk control.</x:t>
        </x:is>
      </x:c>
      <x:c r="D4" s="4" t="inlineStr">
        <x:is>
          <x:t xml:space="preserve">Over-restrict may slow ops.</x:t>
        </x:is>
      </x:c>
      <x:c r="E4" s="4" t="inlineStr">
        <x:is>
          <x:t xml:space="preserve">Agree classification policy + examples.</x:t>
        </x:is>
      </x:c>
      <x:c r="F4" s="4" t="inlineStr">
        <x:is>
          <x:t xml:space="preserve">Proposed</x:t>
        </x:is>
      </x:c>
      <x:c r="G4" s="4" t="inlineStr">
        <x:is>
          <x:t xml:space="preserve">Compliance</x:t>
        </x:is>
      </x:c>
      <x:c r="H4" s="4" t="inlineStr">
        <x:is>
          <x:t xml:space="preserve">Align with PDPL/ADHICS.</x:t>
        </x:is>
      </x:c>
    </x:row>
    <x:row r="5">
      <x:c r="A5" s="4" t="inlineStr">
        <x:is>
          <x:t xml:space="preserve">A-004</x:t>
        </x:is>
      </x:c>
      <x:c r="B5" s="4" t="inlineStr">
        <x:is>
          <x:t xml:space="preserve">Email workflow will be draft-only (HITL send) in MVP.</x:t>
        </x:is>
      </x:c>
      <x:c r="C5" s="4" t="inlineStr">
        <x:is>
          <x:t xml:space="preserve">Reduce risk.</x:t>
        </x:is>
      </x:c>
      <x:c r="D5" s="4" t="inlineStr">
        <x:is>
          <x:t xml:space="preserve">Less automation benefit.</x:t>
        </x:is>
      </x:c>
      <x:c r="E5" s="4" t="inlineStr">
        <x:is>
          <x:t xml:space="preserve">Mgmt approval; map SOP.</x:t>
        </x:is>
      </x:c>
      <x:c r="F5" s="4" t="inlineStr">
        <x:is>
          <x:t xml:space="preserve">Proposed</x:t>
        </x:is>
      </x:c>
      <x:c r="G5" s="4" t="inlineStr">
        <x:is>
          <x:t xml:space="preserve">Compliance</x:t>
        </x:is>
      </x:c>
      <x:c r="H5" s="4" t="inlineStr">
        <x:is>
          <x:t xml:space="preserve">Later can automate sending.</x:t>
        </x:is>
      </x:c>
    </x:row>
    <x:row r="6" ht="30" customHeight="1">
      <x:c r="A6" s="4" t="inlineStr">
        <x:is>
          <x:t xml:space="preserve">A-005</x:t>
        </x:is>
      </x:c>
      <x:c r="B6" s="4" t="inlineStr">
        <x:is>
          <x:t xml:space="preserve">RAG indexing will be global with strict filters (tenant/project/role).</x:t>
        </x:is>
      </x:c>
      <x:c r="C6" s="4" t="inlineStr">
        <x:is>
          <x:t xml:space="preserve">Simpler reuse across tenders.</x:t>
        </x:is>
      </x:c>
      <x:c r="D6" s="4" t="inlineStr">
        <x:is>
          <x:t xml:space="preserve">Leak risk if filters fail.</x:t>
        </x:is>
      </x:c>
      <x:c r="E6" s="4" t="inlineStr">
        <x:is>
          <x:t xml:space="preserve">Security review + red-team tests.</x:t>
        </x:is>
      </x:c>
      <x:c r="F6" s="4" t="inlineStr">
        <x:is>
          <x:t xml:space="preserve">Proposed</x:t>
        </x:is>
      </x:c>
      <x:c r="G6" s="4" t="inlineStr">
        <x:is>
          <x:t xml:space="preserve">Engineering</x:t>
        </x:is>
      </x:c>
      <x:c r="H6" s="4" t="inlineStr">
        <x:is>
          <x:t xml:space="preserve">Add audit logs.</x:t>
        </x:is>
      </x:c>
    </x:row>
    <x:row r="7" ht="30" customHeight="1">
      <x:c r="A7" s="4" t="inlineStr">
        <x:is>
          <x:t xml:space="preserve">A-006</x:t>
        </x:is>
      </x:c>
      <x:c r="B7" s="4" t="inlineStr">
        <x:is>
          <x:t xml:space="preserve">Front-end: Next.js + shadcn/ui + TanStack Table; Back-end: FastAPI.</x:t>
        </x:is>
      </x:c>
      <x:c r="C7" s="4" t="inlineStr">
        <x:is>
          <x:t xml:space="preserve">Speed + maintainability.</x:t>
        </x:is>
      </x:c>
      <x:c r="D7" s="4" t="inlineStr">
        <x:is>
          <x:t xml:space="preserve">Team preference mismatch.</x:t>
        </x:is>
      </x:c>
      <x:c r="E7" s="4" t="inlineStr">
        <x:is>
          <x:t xml:space="preserve">Spike in 1 day; verify toolchain.</x:t>
        </x:is>
      </x:c>
      <x:c r="F7" s="4" t="inlineStr">
        <x:is>
          <x:t xml:space="preserve">Proposed</x:t>
        </x:is>
      </x:c>
      <x:c r="G7" s="4" t="inlineStr">
        <x:is>
          <x:t xml:space="preserve">Engineering</x:t>
        </x:is>
      </x:c>
      <x:c r="H7" s="4" t="inlineStr">
        <x:is>
          <x:t xml:space="preserve">Can swap UI lib.</x:t>
        </x:is>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1" customWidth="1"/>
    <x:col min="2" max="2" width="55" customWidth="1"/>
    <x:col min="3" max="4" width="10" customWidth="1"/>
    <x:col min="5" max="5" width="55" customWidth="1"/>
    <x:col min="6" max="6" width="17" customWidth="1"/>
  </x:cols>
  <x:sheetData>
    <x:row r="1" ht="30" customHeight="1">
      <x:c r="A1" s="3" t="inlineStr">
        <x:is>
          <x:t xml:space="preserve">Area</x:t>
        </x:is>
      </x:c>
      <x:c r="B1" s="3" t="inlineStr">
        <x:is>
          <x:t xml:space="preserve">Requirement</x:t>
        </x:is>
      </x:c>
      <x:c r="C1" s="3" t="inlineStr">
        <x:is>
          <x:t xml:space="preserve">Priority</x:t>
        </x:is>
      </x:c>
      <x:c r="D1" s="3" t="inlineStr">
        <x:is>
          <x:t xml:space="preserve">MVP</x:t>
        </x:is>
      </x:c>
      <x:c r="E1" s="3" t="inlineStr">
        <x:is>
          <x:t xml:space="preserve">Acceptance_criteria</x:t>
        </x:is>
      </x:c>
      <x:c r="F1" s="3" t="inlineStr">
        <x:is>
          <x:t xml:space="preserve">Notes</x:t>
        </x:is>
      </x:c>
    </x:row>
    <x:row r="2" ht="30" customHeight="1">
      <x:c r="A2" s="4" t="inlineStr">
        <x:is>
          <x:t xml:space="preserve">Project Tracker</x:t>
        </x:is>
      </x:c>
      <x:c r="B2" s="4" t="inlineStr">
        <x:is>
          <x:t xml:space="preserve">Create/edit projects with stage, PM, start/end/DLP dates, % progress.</x:t>
        </x:is>
      </x:c>
      <x:c r="C2" s="4" t="inlineStr">
        <x:is>
          <x:t xml:space="preserve">P0</x:t>
        </x:is>
      </x:c>
      <x:c r="D2" s="4" t="inlineStr">
        <x:is>
          <x:t xml:space="preserve">Yes</x:t>
        </x:is>
      </x:c>
      <x:c r="E2" s="4" t="inlineStr">
        <x:is>
          <x:t xml:space="preserve">CRUD + list view + filters + export.</x:t>
        </x:is>
      </x:c>
      <x:c r="F2" s="4" t="inlineStr">
        <x:is>
          <x:t xml:space="preserve">Core quick win.</x:t>
        </x:is>
      </x:c>
    </x:row>
    <x:row r="3">
      <x:c r="A3" s="4" t="inlineStr">
        <x:is>
          <x:t xml:space="preserve">Project Tracker</x:t>
        </x:is>
      </x:c>
      <x:c r="B3" s="4" t="inlineStr">
        <x:is>
          <x:t xml:space="preserve">Milestone list + upcoming deadlines panel.</x:t>
        </x:is>
      </x:c>
      <x:c r="C3" s="4" t="inlineStr">
        <x:is>
          <x:t xml:space="preserve">P0</x:t>
        </x:is>
      </x:c>
      <x:c r="D3" s="4" t="inlineStr">
        <x:is>
          <x:t xml:space="preserve">Yes</x:t>
        </x:is>
      </x:c>
      <x:c r="E3" s="4" t="inlineStr">
        <x:is>
          <x:t xml:space="preserve">Shows next 10 milestones w/ T-x days.</x:t>
        </x:is>
      </x:c>
      <x:c r="F3" s="4" t="inlineStr">
        <x:is>
          <x:t xml:space="preserve">Feeds alerts.</x:t>
        </x:is>
      </x:c>
    </x:row>
    <x:row r="4">
      <x:c r="A4" s="4" t="inlineStr">
        <x:is>
          <x:t xml:space="preserve">Project Tracker</x:t>
        </x:is>
      </x:c>
      <x:c r="B4" s="4" t="inlineStr">
        <x:is>
          <x:t xml:space="preserve">Stage timeline (simple Gantt) + stage history.</x:t>
        </x:is>
      </x:c>
      <x:c r="C4" s="4" t="inlineStr">
        <x:is>
          <x:t xml:space="preserve">P1</x:t>
        </x:is>
      </x:c>
      <x:c r="D4" s="4" t="inlineStr">
        <x:is>
          <x:t xml:space="preserve">No</x:t>
        </x:is>
      </x:c>
      <x:c r="E4" s="4" t="inlineStr">
        <x:is>
          <x:t xml:space="preserve">Shows stage start/end; audit trail.</x:t>
        </x:is>
      </x:c>
      <x:c r="F4" s="4" t="inlineStr">
        <x:is>
          <x:t xml:space="preserve">Phase 2.</x:t>
        </x:is>
      </x:c>
    </x:row>
    <x:row r="5" ht="30" customHeight="1">
      <x:c r="A5" s="4" t="inlineStr">
        <x:is>
          <x:t xml:space="preserve">Tender Tracker</x:t>
        </x:is>
      </x:c>
      <x:c r="B5" s="4" t="inlineStr">
        <x:is>
          <x:t xml:space="preserve">Tender intake record w/ client, ref, deadline, status, value, team owners.</x:t>
        </x:is>
      </x:c>
      <x:c r="C5" s="4" t="inlineStr">
        <x:is>
          <x:t xml:space="preserve">P0</x:t>
        </x:is>
      </x:c>
      <x:c r="D5" s="4" t="inlineStr">
        <x:is>
          <x:t xml:space="preserve">Yes</x:t>
        </x:is>
      </x:c>
      <x:c r="E5" s="4" t="inlineStr">
        <x:is>
          <x:t xml:space="preserve">CRUD + list view + required fields validation.</x:t>
        </x:is>
      </x:c>
      <x:c r="F5" s="4" t="inlineStr">
        <x:is>
          <x:t xml:space="preserve">Core quick win.</x:t>
        </x:is>
      </x:c>
    </x:row>
    <x:row r="6">
      <x:c r="A6" s="4" t="inlineStr">
        <x:is>
          <x:t xml:space="preserve">Tender Tracker</x:t>
        </x:is>
      </x:c>
      <x:c r="B6" s="4" t="inlineStr">
        <x:is>
          <x:t xml:space="preserve">Countdown (T-x) + configurable thresholds + escalation.</x:t>
        </x:is>
      </x:c>
      <x:c r="C6" s="4" t="inlineStr">
        <x:is>
          <x:t xml:space="preserve">P0</x:t>
        </x:is>
      </x:c>
      <x:c r="D6" s="4" t="inlineStr">
        <x:is>
          <x:t xml:space="preserve">Yes</x:t>
        </x:is>
      </x:c>
      <x:c r="E6" s="4" t="inlineStr">
        <x:is>
          <x:t xml:space="preserve">Alerts fire at 14/7/3/1 days and day-of.</x:t>
        </x:is>
      </x:c>
      <x:c r="F6" s="4" t="inlineStr">
        <x:is>
          <x:t xml:space="preserve">Critical.</x:t>
        </x:is>
      </x:c>
    </x:row>
    <x:row r="7">
      <x:c r="A7" s="4" t="inlineStr">
        <x:is>
          <x:t xml:space="preserve">Tender Tracker</x:t>
        </x:is>
      </x:c>
      <x:c r="B7" s="4" t="inlineStr">
        <x:is>
          <x:t xml:space="preserve">Follow-up scheduler + comms log (who, when, outcome).</x:t>
        </x:is>
      </x:c>
      <x:c r="C7" s="4" t="inlineStr">
        <x:is>
          <x:t xml:space="preserve">P0</x:t>
        </x:is>
      </x:c>
      <x:c r="D7" s="4" t="inlineStr">
        <x:is>
          <x:t xml:space="preserve">Yes</x:t>
        </x:is>
      </x:c>
      <x:c r="E7" s="4" t="inlineStr">
        <x:is>
          <x:t xml:space="preserve">Next follow-up date; status notes; reminders.</x:t>
        </x:is>
      </x:c>
      <x:c r="F7" s="4" t="inlineStr">
        <x:is>
          <x:t xml:space="preserve">Quick win req.</x:t>
        </x:is>
      </x:c>
    </x:row>
    <x:row r="8" ht="30" customHeight="1">
      <x:c r="A8" s="4" t="inlineStr">
        <x:is>
          <x:t xml:space="preserve">Tender Optimization</x:t>
        </x:is>
      </x:c>
      <x:c r="B8" s="4" t="inlineStr">
        <x:is>
          <x:t xml:space="preserve">Upload tender pack (PDF/zip) + auto extract key dates/requirements.</x:t>
        </x:is>
      </x:c>
      <x:c r="C8" s="4" t="inlineStr">
        <x:is>
          <x:t xml:space="preserve">P0</x:t>
        </x:is>
      </x:c>
      <x:c r="D8" s="4" t="inlineStr">
        <x:is>
          <x:t xml:space="preserve">Yes</x:t>
        </x:is>
      </x:c>
      <x:c r="E8" s="4" t="inlineStr">
        <x:is>
          <x:t xml:space="preserve">Generates summary report + checklist in &lt;5 min (small packs).</x:t>
        </x:is>
      </x:c>
      <x:c r="F8" s="4" t="inlineStr">
        <x:is>
          <x:t xml:space="preserve">Starter PoC.</x:t>
        </x:is>
      </x:c>
    </x:row>
    <x:row r="9" ht="30" customHeight="1">
      <x:c r="A9" s="4" t="inlineStr">
        <x:is>
          <x:t xml:space="preserve">Tender Optimization</x:t>
        </x:is>
      </x:c>
      <x:c r="B9" s="4" t="inlineStr">
        <x:is>
          <x:t xml:space="preserve">Discipline tagging (Arch/MEP/Struct/QS/General) + highlight needed reviews.</x:t>
        </x:is>
      </x:c>
      <x:c r="C9" s="4" t="inlineStr">
        <x:is>
          <x:t xml:space="preserve">P0</x:t>
        </x:is>
      </x:c>
      <x:c r="D9" s="4" t="inlineStr">
        <x:is>
          <x:t xml:space="preserve">Yes</x:t>
        </x:is>
      </x:c>
      <x:c r="E9" s="4" t="inlineStr">
        <x:is>
          <x:t xml:space="preserve">Outputs per-discipline brief + action list.</x:t>
        </x:is>
      </x:c>
      <x:c r="F9" s="4" t="inlineStr">
        <x:is>
          <x:t xml:space="preserve">Delegation.</x:t>
        </x:is>
      </x:c>
    </x:row>
    <x:row r="10">
      <x:c r="A10" s="4" t="inlineStr">
        <x:is>
          <x:t xml:space="preserve">Tender Optimization</x:t>
        </x:is>
      </x:c>
      <x:c r="B10" s="4" t="inlineStr">
        <x:is>
          <x:t xml:space="preserve">Auto draft participation/regret letter + RFI template.</x:t>
        </x:is>
      </x:c>
      <x:c r="C10" s="4" t="inlineStr">
        <x:is>
          <x:t xml:space="preserve">P1</x:t>
        </x:is>
      </x:c>
      <x:c r="D10" s="4" t="inlineStr">
        <x:is>
          <x:t xml:space="preserve">No</x:t>
        </x:is>
      </x:c>
      <x:c r="E10" s="4" t="inlineStr">
        <x:is>
          <x:t xml:space="preserve">Draft generated; HITL edits.</x:t>
        </x:is>
      </x:c>
      <x:c r="F10" s="4" t="inlineStr">
        <x:is>
          <x:t xml:space="preserve">Phase 2.</x:t>
        </x:is>
      </x:c>
    </x:row>
    <x:row r="11">
      <x:c r="A11" s="4" t="inlineStr">
        <x:is>
          <x:t xml:space="preserve">Notifications</x:t>
        </x:is>
      </x:c>
      <x:c r="B11" s="4" t="inlineStr">
        <x:is>
          <x:t xml:space="preserve">In-app notifications + email alerts with acknowledgements.</x:t>
        </x:is>
      </x:c>
      <x:c r="C11" s="4" t="inlineStr">
        <x:is>
          <x:t xml:space="preserve">P0</x:t>
        </x:is>
      </x:c>
      <x:c r="D11" s="4" t="inlineStr">
        <x:is>
          <x:t xml:space="preserve">Yes</x:t>
        </x:is>
      </x:c>
      <x:c r="E11" s="4" t="inlineStr">
        <x:is>
          <x:t xml:space="preserve">Ack required for critical; escalation if not acked.</x:t>
        </x:is>
      </x:c>
      <x:c r="F11" s="4" t="inlineStr">
        <x:is>
          <x:t xml:space="preserve">MVP.</x:t>
        </x:is>
      </x:c>
    </x:row>
    <x:row r="12" ht="30" customHeight="1">
      <x:c r="A12" s="4" t="inlineStr">
        <x:is>
          <x:t xml:space="preserve">Security/RBAC</x:t>
        </x:is>
      </x:c>
      <x:c r="B12" s="4" t="inlineStr">
        <x:is>
          <x:t xml:space="preserve">Roles: Super Admin, Chairman/VP, Dept Head, PM, Engineer, Finance, Viewer.</x:t>
        </x:is>
      </x:c>
      <x:c r="C12" s="4" t="inlineStr">
        <x:is>
          <x:t xml:space="preserve">P0</x:t>
        </x:is>
      </x:c>
      <x:c r="D12" s="4" t="inlineStr">
        <x:is>
          <x:t xml:space="preserve">Yes</x:t>
        </x:is>
      </x:c>
      <x:c r="E12" s="4" t="inlineStr">
        <x:is>
          <x:t xml:space="preserve">Role-based screens + data filters.</x:t>
        </x:is>
      </x:c>
      <x:c r="F12" s="4" t="inlineStr">
        <x:is>
          <x:t xml:space="preserve">Non-negotiable.</x:t>
        </x:is>
      </x:c>
    </x:row>
    <x:row r="13">
      <x:c r="A13" s="4" t="inlineStr">
        <x:is>
          <x:t xml:space="preserve">Documents</x:t>
        </x:is>
      </x:c>
      <x:c r="B13" s="4" t="inlineStr">
        <x:is>
          <x:t xml:space="preserve">Per-project folder templates + controlled sharing.</x:t>
        </x:is>
      </x:c>
      <x:c r="C13" s="4" t="inlineStr">
        <x:is>
          <x:t xml:space="preserve">P0</x:t>
        </x:is>
      </x:c>
      <x:c r="D13" s="4" t="inlineStr">
        <x:is>
          <x:t xml:space="preserve">Yes</x:t>
        </x:is>
      </x:c>
      <x:c r="E13" s="4" t="inlineStr">
        <x:is>
          <x:t xml:space="preserve">One-click project folder scaffold in storage.</x:t>
        </x:is>
      </x:c>
      <x:c r="F13" s="4" t="inlineStr">
        <x:is>
          <x:t xml:space="preserve">MVP minimal.</x:t>
        </x:is>
      </x:c>
    </x:row>
    <x:row r="14" ht="30" customHeight="1">
      <x:c r="A14" s="4" t="inlineStr">
        <x:is>
          <x:t xml:space="preserve">RAG</x:t>
        </x:is>
      </x:c>
      <x:c r="B14" s="4" t="inlineStr">
        <x:is>
          <x:t xml:space="preserve">Chunking + metadata index + retrieval UI (search + citations).</x:t>
        </x:is>
      </x:c>
      <x:c r="C14" s="4" t="inlineStr">
        <x:is>
          <x:t xml:space="preserve">P1</x:t>
        </x:is>
      </x:c>
      <x:c r="D14" s="4" t="inlineStr">
        <x:is>
          <x:t xml:space="preserve">No</x:t>
        </x:is>
      </x:c>
      <x:c r="E14" s="4" t="inlineStr">
        <x:is>
          <x:t xml:space="preserve">Search works w/ citations to source location.</x:t>
        </x:is>
      </x:c>
      <x:c r="F14" s="4" t="inlineStr">
        <x:is>
          <x:t xml:space="preserve">After PoC.</x:t>
        </x:is>
      </x:c>
    </x:row>
    <x:row r="15">
      <x:c r="A15" s="4" t="inlineStr">
        <x:is>
          <x:t xml:space="preserve">Finance</x:t>
        </x:is>
      </x:c>
      <x:c r="B15" s="4" t="inlineStr">
        <x:is>
          <x:t xml:space="preserve">Invoice/payment alerts + 30/60/90 dashboard from exports.</x:t>
        </x:is>
      </x:c>
      <x:c r="C15" s="4" t="inlineStr">
        <x:is>
          <x:t xml:space="preserve">P1</x:t>
        </x:is>
      </x:c>
      <x:c r="D15" s="4" t="inlineStr">
        <x:is>
          <x:t xml:space="preserve">No</x:t>
        </x:is>
      </x:c>
      <x:c r="E15" s="4" t="inlineStr">
        <x:is>
          <x:t xml:space="preserve">Reads CSV exports and shows forecast cards.</x:t>
        </x:is>
      </x:c>
      <x:c r="F15" s="4" t="inlineStr">
        <x:is>
          <x:t xml:space="preserve">Phase 3.</x:t>
        </x:is>
      </x:c>
    </x:row>
    <x:row r="16">
      <x:c r="A16" s="4" t="inlineStr">
        <x:is>
          <x:t xml:space="preserve">HR</x:t>
        </x:is>
      </x:c>
      <x:c r="B16" s="4" t="inlineStr">
        <x:is>
          <x:t xml:space="preserve">Resource planning: manpower by project + utilization.</x:t>
        </x:is>
      </x:c>
      <x:c r="C16" s="4" t="inlineStr">
        <x:is>
          <x:t xml:space="preserve">P2</x:t>
        </x:is>
      </x:c>
      <x:c r="D16" s="4" t="inlineStr">
        <x:is>
          <x:t xml:space="preserve">No</x:t>
        </x:is>
      </x:c>
      <x:c r="E16" s="4" t="inlineStr">
        <x:is>
          <x:t xml:space="preserve">Utilization dashboard + allocation table.</x:t>
        </x:is>
      </x:c>
      <x:c r="F16" s="4" t="inlineStr">
        <x:is>
          <x:t xml:space="preserve">Later.</x:t>
        </x:is>
      </x:c>
    </x:row>
    <x:row r="17">
      <x:c r="A17" s="4" t="inlineStr">
        <x:is>
          <x:t xml:space="preserve">BI</x:t>
        </x:is>
      </x:c>
      <x:c r="B17" s="4" t="inlineStr">
        <x:is>
          <x:t xml:space="preserve">Executive KPIs dashboard (projects, tenders, risks).</x:t>
        </x:is>
      </x:c>
      <x:c r="C17" s="4" t="inlineStr">
        <x:is>
          <x:t xml:space="preserve">P1</x:t>
        </x:is>
      </x:c>
      <x:c r="D17" s="4" t="inlineStr">
        <x:is>
          <x:t xml:space="preserve">Yes</x:t>
        </x:is>
      </x:c>
      <x:c r="E17" s="4" t="inlineStr">
        <x:is>
          <x:t xml:space="preserve">One page with core KPIs; charts.js.</x:t>
        </x:is>
      </x:c>
      <x:c r="F17" s="4" t="inlineStr">
        <x:is>
          <x:t xml:space="preserve">MVP light.</x:t>
        </x:is>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customWidth="1"/>
    <x:col min="2" max="2" width="40" customWidth="1"/>
    <x:col min="3" max="3" width="21" customWidth="1"/>
    <x:col min="4" max="4" width="41" customWidth="1"/>
    <x:col min="5" max="6" width="55" customWidth="1"/>
  </x:cols>
  <x:sheetData>
    <x:row r="1" ht="30" customHeight="1">
      <x:c r="A1" s="3" t="inlineStr">
        <x:is>
          <x:t xml:space="preserve">Doc_type</x:t>
        </x:is>
      </x:c>
      <x:c r="B1" s="3" t="inlineStr">
        <x:is>
          <x:t xml:space="preserve">Examples</x:t>
        </x:is>
      </x:c>
      <x:c r="C1" s="3" t="inlineStr">
        <x:is>
          <x:t xml:space="preserve">Sensitivity_default</x:t>
        </x:is>
      </x:c>
      <x:c r="D1" s="3" t="inlineStr">
        <x:is>
          <x:t xml:space="preserve">Primary_use</x:t>
        </x:is>
      </x:c>
      <x:c r="E1" s="3" t="inlineStr">
        <x:is>
          <x:t xml:space="preserve">Chunking_rule</x:t>
        </x:is>
      </x:c>
      <x:c r="F1" s="3" t="inlineStr">
        <x:is>
          <x:t xml:space="preserve">Key_metadata_fields</x:t>
        </x:is>
      </x:c>
    </x:row>
    <x:row r="2" ht="30" customHeight="1">
      <x:c r="A2" s="4" t="inlineStr">
        <x:is>
          <x:t xml:space="preserve">Tender Pack</x:t>
        </x:is>
      </x:c>
      <x:c r="B2" s="4" t="inlineStr">
        <x:is>
          <x:t xml:space="preserve">RFP/RFQ/RFI, Instructions to Tenderers</x:t>
        </x:is>
      </x:c>
      <x:c r="C2" s="4" t="inlineStr">
        <x:is>
          <x:t xml:space="preserve">Confidential</x:t>
        </x:is>
      </x:c>
      <x:c r="D2" s="4" t="inlineStr">
        <x:is>
          <x:t xml:space="preserve">Tender intake + requirements extraction</x:t>
        </x:is>
      </x:c>
      <x:c r="E2" s="4" t="inlineStr">
        <x:is>
          <x:t xml:space="preserve">Hierarchical by headings; preserve tables</x:t>
        </x:is>
      </x:c>
      <x:c r="F2" s="4" t="inlineStr">
        <x:is>
          <x:t xml:space="preserve">client, tender_id, deadline, rfi_due, scope_keywords, discipline_tags</x:t>
        </x:is>
      </x:c>
    </x:row>
    <x:row r="3" ht="30" customHeight="1">
      <x:c r="A3" s="4" t="inlineStr">
        <x:is>
          <x:t xml:space="preserve">Scope of Work</x:t>
        </x:is>
      </x:c>
      <x:c r="B3" s="4" t="inlineStr">
        <x:is>
          <x:t xml:space="preserve">SoW sections, deliverables, milestones</x:t>
        </x:is>
      </x:c>
      <x:c r="C3" s="4" t="inlineStr">
        <x:is>
          <x:t xml:space="preserve">Confidential</x:t>
        </x:is>
      </x:c>
      <x:c r="D3" s="4" t="inlineStr">
        <x:is>
          <x:t xml:space="preserve">Delegation + compliance check</x:t>
        </x:is>
      </x:c>
      <x:c r="E3" s="4" t="inlineStr">
        <x:is>
          <x:t xml:space="preserve">Chunk by SoW clauses; 300-700 tokens + overlap</x:t>
        </x:is>
      </x:c>
      <x:c r="F3" s="4" t="inlineStr">
        <x:is>
          <x:t xml:space="preserve">deliverable_id, obligation_flag, acceptance_criteria, discipline</x:t>
        </x:is>
      </x:c>
    </x:row>
    <x:row r="4">
      <x:c r="A4" s="4" t="inlineStr">
        <x:is>
          <x:t xml:space="preserve">Commercial Terms</x:t>
        </x:is>
      </x:c>
      <x:c r="B4" s="4" t="inlineStr">
        <x:is>
          <x:t xml:space="preserve">payment terms, bonds, penalties</x:t>
        </x:is>
      </x:c>
      <x:c r="C4" s="4" t="inlineStr">
        <x:is>
          <x:t xml:space="preserve">Restricted</x:t>
        </x:is>
      </x:c>
      <x:c r="D4" s="4" t="inlineStr">
        <x:is>
          <x:t xml:space="preserve">Risk + pricing strategy</x:t>
        </x:is>
      </x:c>
      <x:c r="E4" s="4" t="inlineStr">
        <x:is>
          <x:t xml:space="preserve">Chunk by clause; keep amounts as structured fields</x:t>
        </x:is>
      </x:c>
      <x:c r="F4" s="4" t="inlineStr">
        <x:is>
          <x:t xml:space="preserve">currency, amounts, penalty_type, due_dates</x:t>
        </x:is>
      </x:c>
    </x:row>
    <x:row r="5">
      <x:c r="A5" s="4" t="inlineStr">
        <x:is>
          <x:t xml:space="preserve">Contract/LOA</x:t>
        </x:is>
      </x:c>
      <x:c r="B5" s="4" t="inlineStr">
        <x:is>
          <x:t xml:space="preserve">consultancy agreement, LOA, amendments</x:t>
        </x:is>
      </x:c>
      <x:c r="C5" s="4" t="inlineStr">
        <x:is>
          <x:t xml:space="preserve">Restricted</x:t>
        </x:is>
      </x:c>
      <x:c r="D5" s="4" t="inlineStr">
        <x:is>
          <x:t xml:space="preserve">Obligations + liabilities + timeline</x:t>
        </x:is>
      </x:c>
      <x:c r="E5" s="4" t="inlineStr">
        <x:is>
          <x:t xml:space="preserve">Chunk by numbered clauses; cross-reference definitions</x:t>
        </x:is>
      </x:c>
      <x:c r="F5" s="4" t="inlineStr">
        <x:is>
          <x:t xml:space="preserve">liability_type, indemnity, termination, governing_law</x:t>
        </x:is>
      </x:c>
    </x:row>
    <x:row r="6">
      <x:c r="A6" s="4" t="inlineStr">
        <x:is>
          <x:t xml:space="preserve">Technical Proposal (past)</x:t>
        </x:is>
      </x:c>
      <x:c r="B6" s="4" t="inlineStr">
        <x:is>
          <x:t xml:space="preserve">methodology, organogram, CVs</x:t>
        </x:is>
      </x:c>
      <x:c r="C6" s="4" t="inlineStr">
        <x:is>
          <x:t xml:space="preserve">Confidential</x:t>
        </x:is>
      </x:c>
      <x:c r="D6" s="4" t="inlineStr">
        <x:is>
          <x:t xml:space="preserve">Template mining + quality scoring</x:t>
        </x:is>
      </x:c>
      <x:c r="E6" s="4" t="inlineStr">
        <x:is>
          <x:t xml:space="preserve">Chunk by sections; extract reusable blocks</x:t>
        </x:is>
      </x:c>
      <x:c r="F6" s="4" t="inlineStr">
        <x:is>
          <x:t xml:space="preserve">section_type, win_notes, differentiators</x:t>
        </x:is>
      </x:c>
    </x:row>
    <x:row r="7">
      <x:c r="A7" s="4" t="inlineStr">
        <x:is>
          <x:t xml:space="preserve">Commercial Proposal (past)</x:t>
        </x:is>
      </x:c>
      <x:c r="B7" s="4" t="inlineStr">
        <x:is>
          <x:t xml:space="preserve">fees, breakdowns</x:t>
        </x:is>
      </x:c>
      <x:c r="C7" s="4" t="inlineStr">
        <x:is>
          <x:t xml:space="preserve">Restricted</x:t>
        </x:is>
      </x:c>
      <x:c r="D7" s="4" t="inlineStr">
        <x:is>
          <x:t xml:space="preserve">Benchmarking + pricing patterns</x:t>
        </x:is>
      </x:c>
      <x:c r="E7" s="4" t="inlineStr">
        <x:is>
          <x:t xml:space="preserve">Chunk by tables; normalize rows</x:t>
        </x:is>
      </x:c>
      <x:c r="F7" s="4" t="inlineStr">
        <x:is>
          <x:t xml:space="preserve">fee_items, rates, assumptions</x:t>
        </x:is>
      </x:c>
    </x:row>
    <x:row r="8">
      <x:c r="A8" s="4" t="inlineStr">
        <x:is>
          <x:t xml:space="preserve">Emails/Correspondence</x:t>
        </x:is>
      </x:c>
      <x:c r="B8" s="4" t="inlineStr">
        <x:is>
          <x:t xml:space="preserve">client emails, subconsultant emails</x:t>
        </x:is>
      </x:c>
      <x:c r="C8" s="4" t="inlineStr">
        <x:is>
          <x:t xml:space="preserve">Confidential</x:t>
        </x:is>
      </x:c>
      <x:c r="D8" s="4" t="inlineStr">
        <x:is>
          <x:t xml:space="preserve">Task extraction + audit</x:t>
        </x:is>
      </x:c>
      <x:c r="E8" s="4" t="inlineStr">
        <x:is>
          <x:t xml:space="preserve">Thread reconstruction; chunk per message + action items</x:t>
        </x:is>
      </x:c>
      <x:c r="F8" s="4" t="inlineStr">
        <x:is>
          <x:t xml:space="preserve">sender, recipients, date, action_items, attachments</x:t>
        </x:is>
      </x:c>
    </x:row>
    <x:row r="9">
      <x:c r="A9" s="4" t="inlineStr">
        <x:is>
          <x:t xml:space="preserve">Meeting Minutes</x:t>
        </x:is>
      </x:c>
      <x:c r="B9" s="4" t="inlineStr">
        <x:is>
          <x:t xml:space="preserve">kickoff minutes, site visit minutes</x:t>
        </x:is>
      </x:c>
      <x:c r="C9" s="4" t="inlineStr">
        <x:is>
          <x:t xml:space="preserve">Confidential</x:t>
        </x:is>
      </x:c>
      <x:c r="D9" s="4" t="inlineStr">
        <x:is>
          <x:t xml:space="preserve">Decisions + actions</x:t>
        </x:is>
      </x:c>
      <x:c r="E9" s="4" t="inlineStr">
        <x:is>
          <x:t xml:space="preserve">Chunk by agenda item</x:t>
        </x:is>
      </x:c>
      <x:c r="F9" s="4" t="inlineStr">
        <x:is>
          <x:t xml:space="preserve">decision, owner, due_date</x:t>
        </x:is>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customWidth="1"/>
    <x:col min="2" max="2" width="26" customWidth="1"/>
    <x:col min="3" max="3" width="43" customWidth="1"/>
    <x:col min="4" max="4" width="56" customWidth="1"/>
    <x:col min="5" max="5" width="27" customWidth="1"/>
  </x:cols>
  <x:sheetData>
    <x:row r="1" ht="30" customHeight="1">
      <x:c r="A1" s="3" t="inlineStr">
        <x:is>
          <x:t xml:space="preserve">Day</x:t>
        </x:is>
      </x:c>
      <x:c r="B1" s="3" t="inlineStr">
        <x:is>
          <x:t xml:space="preserve">Theme</x:t>
        </x:is>
      </x:c>
      <x:c r="C1" s="3" t="inlineStr">
        <x:is>
          <x:t xml:space="preserve">Deliverables</x:t>
        </x:is>
      </x:c>
      <x:c r="D1" s="3" t="inlineStr">
        <x:is>
          <x:t xml:space="preserve">Key_tasks</x:t>
        </x:is>
      </x:c>
      <x:c r="E1" s="3" t="inlineStr">
        <x:is>
          <x:t xml:space="preserve">HITL_checkpoint</x:t>
        </x:is>
      </x:c>
    </x:row>
    <x:row r="2" ht="30" customHeight="1">
      <x:c r="A2" s="6" t="inlineStr">
        <x:is>
          <x:t xml:space="preserve">Day 1</x:t>
        </x:is>
      </x:c>
      <x:c r="B2" s="6" t="inlineStr">
        <x:is>
          <x:t xml:space="preserve">Repo + environment</x:t>
        </x:is>
      </x:c>
      <x:c r="C2" s="6" t="inlineStr">
        <x:is>
          <x:t xml:space="preserve">Monorepo bootstrapped; Docker compose up</x:t>
        </x:is>
      </x:c>
      <x:c r="D2" s="6" t="inlineStr">
        <x:is>
          <x:t xml:space="preserve">Create repo structure; choose template; run 'make dev'</x:t>
        </x:is>
      </x:c>
      <x:c r="E2" s="6" t="inlineStr">
        <x:is>
          <x:t xml:space="preserve">Confirm stack + hosting</x:t>
        </x:is>
      </x:c>
    </x:row>
    <x:row r="3">
      <x:c r="A3" s="6" t="inlineStr">
        <x:is>
          <x:t xml:space="preserve">Day 2</x:t>
        </x:is>
      </x:c>
      <x:c r="B3" s="6" t="inlineStr">
        <x:is>
          <x:t xml:space="preserve">DB + Auth foundation</x:t>
        </x:is>
      </x:c>
      <x:c r="C3" s="6" t="inlineStr">
        <x:is>
          <x:t xml:space="preserve">Postgres schema v0; RBAC skeleton</x:t>
        </x:is>
      </x:c>
      <x:c r="D3" s="6" t="inlineStr">
        <x:is>
          <x:t xml:space="preserve">Prisma/Alembic; auth (JWT/session); seed roles</x:t>
        </x:is>
      </x:c>
      <x:c r="E3" s="6" t="inlineStr">
        <x:is>
          <x:t xml:space="preserve">Confirm roles/permissions</x:t>
        </x:is>
      </x:c>
    </x:row>
    <x:row r="4">
      <x:c r="A4" s="6" t="inlineStr">
        <x:is>
          <x:t xml:space="preserve">Day 3</x:t>
        </x:is>
      </x:c>
      <x:c r="B4" s="6" t="inlineStr">
        <x:is>
          <x:t xml:space="preserve">Project Tracker MVP</x:t>
        </x:is>
      </x:c>
      <x:c r="C4" s="6" t="inlineStr">
        <x:is>
          <x:t xml:space="preserve">Projects CRUD + dashboard v0</x:t>
        </x:is>
      </x:c>
      <x:c r="D4" s="6" t="inlineStr">
        <x:is>
          <x:t xml:space="preserve">API endpoints + UI table + filters</x:t>
        </x:is>
      </x:c>
      <x:c r="E4" s="6" t="inlineStr">
        <x:is>
          <x:t xml:space="preserve">Validate fields/stages</x:t>
        </x:is>
      </x:c>
    </x:row>
    <x:row r="5">
      <x:c r="A5" s="6" t="inlineStr">
        <x:is>
          <x:t xml:space="preserve">Day 4</x:t>
        </x:is>
      </x:c>
      <x:c r="B5" s="6" t="inlineStr">
        <x:is>
          <x:t xml:space="preserve">Tender Tracker MVP</x:t>
        </x:is>
      </x:c>
      <x:c r="C5" s="6" t="inlineStr">
        <x:is>
          <x:t xml:space="preserve">Tenders CRUD + countdown logic</x:t>
        </x:is>
      </x:c>
      <x:c r="D5" s="6" t="inlineStr">
        <x:is>
          <x:t xml:space="preserve">Status workflow; follow-up reminders</x:t>
        </x:is>
      </x:c>
      <x:c r="E5" s="6" t="inlineStr">
        <x:is>
          <x:t xml:space="preserve">Validate thresholds</x:t>
        </x:is>
      </x:c>
    </x:row>
    <x:row r="6">
      <x:c r="A6" s="6" t="inlineStr">
        <x:is>
          <x:t xml:space="preserve">Day 5</x:t>
        </x:is>
      </x:c>
      <x:c r="B6" s="6" t="inlineStr">
        <x:is>
          <x:t xml:space="preserve">Notification Engine</x:t>
        </x:is>
      </x:c>
      <x:c r="C6" s="6" t="inlineStr">
        <x:is>
          <x:t xml:space="preserve">In-app + email alerts v0</x:t>
        </x:is>
      </x:c>
      <x:c r="D6" s="6" t="inlineStr">
        <x:is>
          <x:t xml:space="preserve">Scheduler + escalation; ack tracking</x:t>
        </x:is>
      </x:c>
      <x:c r="E6" s="6" t="inlineStr">
        <x:is>
          <x:t xml:space="preserve">Choose channels</x:t>
        </x:is>
      </x:c>
    </x:row>
    <x:row r="7">
      <x:c r="A7" s="6" t="inlineStr">
        <x:is>
          <x:t xml:space="preserve">Day 6</x:t>
        </x:is>
      </x:c>
      <x:c r="B7" s="6" t="inlineStr">
        <x:is>
          <x:t xml:space="preserve">Tender intake upload</x:t>
        </x:is>
      </x:c>
      <x:c r="C7" s="6" t="inlineStr">
        <x:is>
          <x:t xml:space="preserve">Upload PDF/ZIP + storage; doc parsing PoC</x:t>
        </x:is>
      </x:c>
      <x:c r="D7" s="6" t="inlineStr">
        <x:is>
          <x:t xml:space="preserve">Docling pipeline; extract key dates</x:t>
        </x:is>
      </x:c>
      <x:c r="E7" s="6" t="inlineStr">
        <x:is>
          <x:t xml:space="preserve">Validate extraction</x:t>
        </x:is>
      </x:c>
    </x:row>
    <x:row r="8">
      <x:c r="A8" s="6" t="inlineStr">
        <x:is>
          <x:t xml:space="preserve">Day 7</x:t>
        </x:is>
      </x:c>
      <x:c r="B8" s="6" t="inlineStr">
        <x:is>
          <x:t xml:space="preserve">Tender summary report v1</x:t>
        </x:is>
      </x:c>
      <x:c r="C8" s="6" t="inlineStr">
        <x:is>
          <x:t xml:space="preserve">Auto summary + checklist output</x:t>
        </x:is>
      </x:c>
      <x:c r="D8" s="6" t="inlineStr">
        <x:is>
          <x:t xml:space="preserve">Generate report; export PDF/MD</x:t>
        </x:is>
      </x:c>
      <x:c r="E8" s="6" t="inlineStr">
        <x:is>
          <x:t xml:space="preserve">Quality review</x:t>
        </x:is>
      </x:c>
    </x:row>
    <x:row r="9">
      <x:c r="A9" s="6" t="inlineStr">
        <x:is>
          <x:t xml:space="preserve">Day 8</x:t>
        </x:is>
      </x:c>
      <x:c r="B9" s="6" t="inlineStr">
        <x:is>
          <x:t xml:space="preserve">Discipline delegation v1</x:t>
        </x:is>
      </x:c>
      <x:c r="C9" s="6" t="inlineStr">
        <x:is>
          <x:t xml:space="preserve">Per-discipline brief + task list</x:t>
        </x:is>
      </x:c>
      <x:c r="D9" s="6" t="inlineStr">
        <x:is>
          <x:t xml:space="preserve">Classifier rules; color tags; email drafts</x:t>
        </x:is>
      </x:c>
      <x:c r="E9" s="6" t="inlineStr">
        <x:is>
          <x:t xml:space="preserve">Team usability</x:t>
        </x:is>
      </x:c>
    </x:row>
    <x:row r="10">
      <x:c r="A10" s="6" t="inlineStr">
        <x:is>
          <x:t xml:space="preserve">Day 9</x:t>
        </x:is>
      </x:c>
      <x:c r="B10" s="6" t="inlineStr">
        <x:is>
          <x:t xml:space="preserve">Hardening sprint</x:t>
        </x:is>
      </x:c>
      <x:c r="C10" s="6" t="inlineStr">
        <x:is>
          <x:t xml:space="preserve">Audit logs + permissions tests</x:t>
        </x:is>
      </x:c>
      <x:c r="D10" s="6" t="inlineStr">
        <x:is>
          <x:t xml:space="preserve">Add logging; add unit tests</x:t>
        </x:is>
      </x:c>
      <x:c r="E10" s="6" t="inlineStr">
        <x:is>
          <x:t xml:space="preserve">Security review</x:t>
        </x:is>
      </x:c>
    </x:row>
    <x:row r="11">
      <x:c r="A11" s="6" t="inlineStr">
        <x:is>
          <x:t xml:space="preserve">Day 10</x:t>
        </x:is>
      </x:c>
      <x:c r="B11" s="6" t="inlineStr">
        <x:is>
          <x:t xml:space="preserve">Dashboard polish</x:t>
        </x:is>
      </x:c>
      <x:c r="C11" s="6" t="inlineStr">
        <x:is>
          <x:t xml:space="preserve">Exec KPI page v0</x:t>
        </x:is>
      </x:c>
      <x:c r="D11" s="6" t="inlineStr">
        <x:is>
          <x:t xml:space="preserve">Charts; saved views</x:t>
        </x:is>
      </x:c>
      <x:c r="E11" s="6" t="inlineStr">
        <x:is>
          <x:t xml:space="preserve">Mgmt acceptance</x:t>
        </x:is>
      </x:c>
    </x:row>
    <x:row r="12">
      <x:c r="A12" s="6" t="inlineStr">
        <x:is>
          <x:t xml:space="preserve">Day 11</x:t>
        </x:is>
      </x:c>
      <x:c r="B12" s="6" t="inlineStr">
        <x:is>
          <x:t xml:space="preserve">Data import</x:t>
        </x:is>
      </x:c>
      <x:c r="C12" s="6" t="inlineStr">
        <x:is>
          <x:t xml:space="preserve">Import current projects/tenders from CSV</x:t>
        </x:is>
      </x:c>
      <x:c r="D12" s="6" t="inlineStr">
        <x:is>
          <x:t xml:space="preserve">Mapping; validation</x:t>
        </x:is>
      </x:c>
      <x:c r="E12" s="6" t="inlineStr">
        <x:is>
          <x:t xml:space="preserve">Data correctness</x:t>
        </x:is>
      </x:c>
    </x:row>
    <x:row r="13">
      <x:c r="A13" s="6" t="inlineStr">
        <x:is>
          <x:t xml:space="preserve">Day 12</x:t>
        </x:is>
      </x:c>
      <x:c r="B13" s="6" t="inlineStr">
        <x:is>
          <x:t xml:space="preserve">UAT week-start</x:t>
        </x:is>
      </x:c>
      <x:c r="C13" s="6" t="inlineStr">
        <x:is>
          <x:t xml:space="preserve">Pilot with 3 users</x:t>
        </x:is>
      </x:c>
      <x:c r="D13" s="6" t="inlineStr">
        <x:is>
          <x:t xml:space="preserve">Bug fixes; UX tweaks</x:t>
        </x:is>
      </x:c>
      <x:c r="E13" s="6" t="inlineStr">
        <x:is>
          <x:t xml:space="preserve">Go/No-go</x:t>
        </x:is>
      </x:c>
    </x:row>
    <x:row r="14">
      <x:c r="A14" s="6" t="inlineStr">
        <x:is>
          <x:t xml:space="preserve">Day 13</x:t>
        </x:is>
      </x:c>
      <x:c r="B14" s="6" t="inlineStr">
        <x:is>
          <x:t xml:space="preserve">Deployment prep</x:t>
        </x:is>
      </x:c>
      <x:c r="C14" s="6" t="inlineStr">
        <x:is>
          <x:t xml:space="preserve">Docker images + env configs</x:t>
        </x:is>
      </x:c>
      <x:c r="D14" s="6" t="inlineStr">
        <x:is>
          <x:t xml:space="preserve">CI basic; backup notes</x:t>
        </x:is>
      </x:c>
      <x:c r="E14" s="6" t="inlineStr">
        <x:is>
          <x:t xml:space="preserve">IT signoff</x:t>
        </x:is>
      </x:c>
    </x:row>
    <x:row r="15">
      <x:c r="A15" s="6" t="inlineStr">
        <x:is>
          <x:t xml:space="preserve">Day 14</x:t>
        </x:is>
      </x:c>
      <x:c r="B15" s="6" t="inlineStr">
        <x:is>
          <x:t xml:space="preserve">Demo + handover</x:t>
        </x:is>
      </x:c>
      <x:c r="C15" s="6" t="inlineStr">
        <x:is>
          <x:t xml:space="preserve">Demo to Vice Chairman; backlog v2</x:t>
        </x:is>
      </x:c>
      <x:c r="D15" s="6" t="inlineStr">
        <x:is>
          <x:t xml:space="preserve">Training pack; next sprint plan</x:t>
        </x:is>
      </x:c>
      <x:c r="E15" s="6" t="inlineStr">
        <x:is>
          <x:t xml:space="preserve">Approve roadmap</x:t>
        </x:is>
      </x:c>
    </x:row>
    <x:row r="16">
      <x:c r="A16" s="7" t="n"/>
      <x:c r="B16" s="7" t="n"/>
      <x:c r="C16" s="7" t="n"/>
      <x:c r="D16" s="7" t="n"/>
      <x:c r="E16" s="7" t="n"/>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1" customWidth="1"/>
    <x:col min="2" max="2" width="23" customWidth="1"/>
    <x:col min="3" max="3" width="60" customWidth="1"/>
    <x:col min="4" max="4" width="22" customWidth="1"/>
    <x:col min="5" max="5" width="32" customWidth="1"/>
    <x:col min="6" max="6" width="23" customWidth="1"/>
    <x:col min="7" max="7" width="31" customWidth="1"/>
  </x:cols>
  <x:sheetData>
    <x:row r="1" ht="30" customHeight="1">
      <x:c r="A1" s="3" t="inlineStr">
        <x:is>
          <x:t xml:space="preserve">Prompt_ID</x:t>
        </x:is>
      </x:c>
      <x:c r="B1" s="3" t="inlineStr">
        <x:is>
          <x:t xml:space="preserve">Name</x:t>
        </x:is>
      </x:c>
      <x:c r="C1" s="3" t="inlineStr">
        <x:is>
          <x:t xml:space="preserve">When_to_use</x:t>
        </x:is>
      </x:c>
      <x:c r="D1" s="3" t="inlineStr">
        <x:is>
          <x:t xml:space="preserve">Inputs</x:t>
        </x:is>
      </x:c>
      <x:c r="E1" s="3" t="inlineStr">
        <x:is>
          <x:t xml:space="preserve">Outputs</x:t>
        </x:is>
      </x:c>
      <x:c r="F1" s="3" t="inlineStr">
        <x:is>
          <x:t xml:space="preserve">Owner</x:t>
        </x:is>
      </x:c>
      <x:c r="G1" s="3" t="inlineStr">
        <x:is>
          <x:t xml:space="preserve">Notes</x:t>
        </x:is>
      </x:c>
    </x:row>
    <x:row r="2">
      <x:c r="A2" s="4" t="inlineStr">
        <x:is>
          <x:t xml:space="preserve">P-001</x:t>
        </x:is>
      </x:c>
      <x:c r="B2" s="4" t="inlineStr">
        <x:is>
          <x:t xml:space="preserve">Repo Scout: inventory</x:t>
        </x:is>
      </x:c>
      <x:c r="C2" s="4" t="inlineStr">
        <x:is>
          <x:t xml:space="preserve">When starting a new code/doc base</x:t>
        </x:is>
      </x:c>
      <x:c r="D2" s="4" t="inlineStr">
        <x:is>
          <x:t xml:space="preserve">root_path, patterns</x:t>
        </x:is>
      </x:c>
      <x:c r="E2" s="4" t="inlineStr">
        <x:is>
          <x:t xml:space="preserve">inventory.json + dedupe report</x:t>
        </x:is>
      </x:c>
      <x:c r="F2" s="4" t="inlineStr">
        <x:is>
          <x:t xml:space="preserve">AI Agent</x:t>
        </x:is>
      </x:c>
      <x:c r="G2" s="4" t="inlineStr">
        <x:is>
          <x:t xml:space="preserve">Run before any summarization.</x:t>
        </x:is>
      </x:c>
    </x:row>
    <x:row r="3">
      <x:c r="A3" s="4" t="inlineStr">
        <x:is>
          <x:t xml:space="preserve">P-002</x:t>
        </x:is>
      </x:c>
      <x:c r="B3" s="4" t="inlineStr">
        <x:is>
          <x:t xml:space="preserve">Doc Churn: normalize</x:t>
        </x:is>
      </x:c>
      <x:c r="C3" s="4" t="inlineStr">
        <x:is>
          <x:t xml:space="preserve">Convert PDFs/docs/md to normalized md + metadata</x:t>
        </x:is>
      </x:c>
      <x:c r="D3" s="4" t="inlineStr">
        <x:is>
          <x:t xml:space="preserve">files + taxonomy</x:t>
        </x:is>
      </x:c>
      <x:c r="E3" s="4" t="inlineStr">
        <x:is>
          <x:t xml:space="preserve">normalized_md + metadata.yml</x:t>
        </x:is>
      </x:c>
      <x:c r="F3" s="4" t="inlineStr">
        <x:is>
          <x:t xml:space="preserve">AI Agent</x:t>
        </x:is>
      </x:c>
      <x:c r="G3" s="4" t="inlineStr">
        <x:is>
          <x:t xml:space="preserve">Use Docling; keep page refs.</x:t>
        </x:is>
      </x:c>
    </x:row>
    <x:row r="4">
      <x:c r="A4" s="4" t="inlineStr">
        <x:is>
          <x:t xml:space="preserve">P-003</x:t>
        </x:is>
      </x:c>
      <x:c r="B4" s="4" t="inlineStr">
        <x:is>
          <x:t xml:space="preserve">Chunk &amp; Tag</x:t>
        </x:is>
      </x:c>
      <x:c r="C4" s="4" t="inlineStr">
        <x:is>
          <x:t xml:space="preserve">Create chunks + tags + chunk_index</x:t>
        </x:is>
      </x:c>
      <x:c r="D4" s="4" t="inlineStr">
        <x:is>
          <x:t xml:space="preserve">normalized_md</x:t>
        </x:is>
      </x:c>
      <x:c r="E4" s="4" t="inlineStr">
        <x:is>
          <x:t xml:space="preserve">chunks/*.md + chunk_index.csv</x:t>
        </x:is>
      </x:c>
      <x:c r="F4" s="4" t="inlineStr">
        <x:is>
          <x:t xml:space="preserve">AI Council</x:t>
        </x:is>
      </x:c>
      <x:c r="G4" s="4" t="inlineStr">
        <x:is>
          <x:t xml:space="preserve">Must emit citations.</x:t>
        </x:is>
      </x:c>
    </x:row>
    <x:row r="5">
      <x:c r="A5" s="4" t="inlineStr">
        <x:is>
          <x:t xml:space="preserve">P-004</x:t>
        </x:is>
      </x:c>
      <x:c r="B5" s="4" t="inlineStr">
        <x:is>
          <x:t xml:space="preserve">Redundancy Killer</x:t>
        </x:is>
      </x:c>
      <x:c r="C5" s="4" t="inlineStr">
        <x:is>
          <x:t xml:space="preserve">Merge duplicates; produce canonical spec blocks</x:t>
        </x:is>
      </x:c>
      <x:c r="D5" s="4" t="inlineStr">
        <x:is>
          <x:t xml:space="preserve">chunk_index + chunks</x:t>
        </x:is>
      </x:c>
      <x:c r="E5" s="4" t="inlineStr">
        <x:is>
          <x:t xml:space="preserve">spec_blocks/*.md + merge_log</x:t>
        </x:is>
      </x:c>
      <x:c r="F5" s="4" t="inlineStr">
        <x:is>
          <x:t xml:space="preserve">Council Judge</x:t>
        </x:is>
      </x:c>
      <x:c r="G5" s="4" t="inlineStr">
        <x:is>
          <x:t xml:space="preserve">HITL approve merges.</x:t>
        </x:is>
      </x:c>
    </x:row>
    <x:row r="6">
      <x:c r="A6" s="4" t="inlineStr">
        <x:is>
          <x:t xml:space="preserve">P-005</x:t>
        </x:is>
      </x:c>
      <x:c r="B6" s="4" t="inlineStr">
        <x:is>
          <x:t xml:space="preserve">Spec Builder</x:t>
        </x:is>
      </x:c>
      <x:c r="C6" s="4" t="inlineStr">
        <x:is>
          <x:t xml:space="preserve">Build enterprise-ready technical spec from blocks</x:t>
        </x:is>
      </x:c>
      <x:c r="D6" s="4" t="inlineStr">
        <x:is>
          <x:t xml:space="preserve">spec_blocks</x:t>
        </x:is>
      </x:c>
      <x:c r="E6" s="4" t="inlineStr">
        <x:is>
          <x:t xml:space="preserve">/docs/spec/*.md</x:t>
        </x:is>
      </x:c>
      <x:c r="F6" s="4" t="inlineStr">
        <x:is>
          <x:t xml:space="preserve">Chief Architect Agent</x:t>
        </x:is>
      </x:c>
      <x:c r="G6" s="4" t="inlineStr">
        <x:is>
          <x:t xml:space="preserve">Includes NFRs + RBAC.</x:t>
        </x:is>
      </x:c>
    </x:row>
    <x:row r="7">
      <x:c r="A7" s="4" t="inlineStr">
        <x:is>
          <x:t xml:space="preserve">P-006</x:t>
        </x:is>
      </x:c>
      <x:c r="B7" s="4" t="inlineStr">
        <x:is>
          <x:t xml:space="preserve">MVP Builder</x:t>
        </x:is>
      </x:c>
      <x:c r="C7" s="4" t="inlineStr">
        <x:is>
          <x:t xml:space="preserve">Generate tickets + micro-prompts for Claude Code</x:t>
        </x:is>
      </x:c>
      <x:c r="D7" s="4" t="inlineStr">
        <x:is>
          <x:t xml:space="preserve">spec</x:t>
        </x:is>
      </x:c>
      <x:c r="E7" s="4" t="inlineStr">
        <x:is>
          <x:t xml:space="preserve">/prompts/dev/*.md</x:t>
        </x:is>
      </x:c>
      <x:c r="F7" s="4" t="inlineStr">
        <x:is>
          <x:t xml:space="preserve">PM Agent</x:t>
        </x:is>
      </x:c>
      <x:c r="G7" s="4" t="inlineStr">
        <x:is>
          <x:t xml:space="preserve">One ticket per prompt.</x:t>
        </x:is>
      </x:c>
    </x:row>
    <x:row r="8">
      <x:c r="A8" s="4" t="inlineStr">
        <x:is>
          <x:t xml:space="preserve">P-007</x:t>
        </x:is>
      </x:c>
      <x:c r="B8" s="4" t="inlineStr">
        <x:is>
          <x:t xml:space="preserve">Tender Analyzer</x:t>
        </x:is>
      </x:c>
      <x:c r="C8" s="4" t="inlineStr">
        <x:is>
          <x:t xml:space="preserve">From tender pack → summary + checklist + discipline briefs</x:t>
        </x:is>
      </x:c>
      <x:c r="D8" s="4" t="inlineStr">
        <x:is>
          <x:t xml:space="preserve">tender pack</x:t>
        </x:is>
      </x:c>
      <x:c r="E8" s="4" t="inlineStr">
        <x:is>
          <x:t xml:space="preserve">report.md + tasks.csv</x:t>
        </x:is>
      </x:c>
      <x:c r="F8" s="4" t="inlineStr">
        <x:is>
          <x:t xml:space="preserve">Tender Council</x:t>
        </x:is>
      </x:c>
      <x:c r="G8" s="4" t="inlineStr">
        <x:is>
          <x:t xml:space="preserve">Gated by HITL.</x:t>
        </x:is>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40" customWidth="1"/>
    <x:col min="2" max="2" width="32" customWidth="1"/>
    <x:col min="3" max="3" width="10" customWidth="1"/>
    <x:col min="4" max="4" width="12" customWidth="1"/>
    <x:col min="5" max="5" width="115" customWidth="1"/>
    <x:col min="6" max="6" width="18" customWidth="1"/>
    <x:col min="7" max="7" width="10" customWidth="1"/>
    <x:col min="8" max="8" width="14" customWidth="1"/>
    <x:col min="9" max="9" width="18" customWidth="1"/>
    <x:col min="10" max="10" width="18" customWidth="1"/>
    <x:col min="11" max="11" width="14" customWidth="1"/>
    <x:col min="12" max="12" width="14" customWidth="1"/>
    <x:col min="13" max="13" width="28" customWidth="1"/>
  </x:cols>
  <x:sheetData>
    <x:row r="1">
      <x:c r="A1" s="3" t="inlineStr">
        <x:is>
          <x:t xml:space="preserve">Domain</x:t>
        </x:is>
      </x:c>
      <x:c r="B1" s="3" t="inlineStr">
        <x:is>
          <x:t xml:space="preserve">Control</x:t>
        </x:is>
      </x:c>
      <x:c r="C1" s="3" t="inlineStr">
        <x:is>
          <x:t xml:space="preserve">ControlID</x:t>
        </x:is>
      </x:c>
      <x:c r="D1" s="3" t="inlineStr">
        <x:is>
          <x:t xml:space="preserve">Requirement</x:t>
        </x:is>
      </x:c>
      <x:c r="E1" s="3" t="inlineStr">
        <x:is>
          <x:t xml:space="preserve">ControlFamily</x:t>
        </x:is>
      </x:c>
      <x:c r="F1" s="3" t="inlineStr">
        <x:is>
          <x:t xml:space="preserve">ReviewFrequencyHint</x:t>
        </x:is>
      </x:c>
      <x:c r="G1" s="3" t="inlineStr">
        <x:is>
          <x:t xml:space="preserve">Priority</x:t>
        </x:is>
      </x:c>
      <x:c r="H1" s="3" t="inlineStr">
        <x:is>
          <x:t xml:space="preserve">Status</x:t>
        </x:is>
      </x:c>
      <x:c r="I1" s="3" t="inlineStr">
        <x:is>
          <x:t xml:space="preserve">Owner</x:t>
        </x:is>
      </x:c>
      <x:c r="J1" s="3" t="inlineStr">
        <x:is>
          <x:t xml:space="preserve">EvidenceIDs</x:t>
        </x:is>
      </x:c>
      <x:c r="K1" s="3" t="inlineStr">
        <x:is>
          <x:t xml:space="preserve">GateIDs</x:t>
        </x:is>
      </x:c>
      <x:c r="L1" s="3" t="inlineStr">
        <x:is>
          <x:t xml:space="preserve">SegmentIDs</x:t>
        </x:is>
      </x:c>
      <x:c r="M1" s="3" t="inlineStr">
        <x:is>
          <x:t xml:space="preserve">Notes</x:t>
        </x:is>
      </x:c>
    </x:row>
    <x:row r="2">
      <x:c r="A2" s="4" t="inlineStr">
        <x:is>
          <x:t xml:space="preserve">Audit Assurance &amp; Compliance</x:t>
        </x:is>
      </x:c>
      <x:c r="B2" s="4" t="inlineStr">
        <x:is>
          <x:t xml:space="preserve">Audit Planning</x:t>
        </x:is>
      </x:c>
      <x:c r="C2" t="inlineStr">
        <x:is>
          <x:t xml:space="preserve">AAC-01</x:t>
        </x:is>
      </x:c>
      <x:c r="D2" s="4" t="inlineStr">
        <x:is>
          <x:t xml:space="preserve">Audit plans shall be developed and maintained to address business process disruptions. Auditing plans shall focus on reviewing the effectiveness of the implementation of security operations. All audit activities must be agreed upon prior to executing any audits.</x:t>
        </x:is>
      </x:c>
      <x:c r="E2" t="inlineStr">
        <x:is>
          <x:t xml:space="preserve">AAC</x:t>
        </x:is>
      </x:c>
      <x:c r="H2" t="inlineStr">
        <x:is>
          <x:t xml:space="preserve">NotStarted</x:t>
        </x:is>
      </x:c>
      <x:c r="M2" s="4" t="inlineStr">
        <x:is>
          <x:t xml:space="preserve"/>
        </x:is>
      </x:c>
    </x:row>
    <x:row r="3">
      <x:c r="A3" s="4" t="inlineStr">
        <x:is>
          <x:t xml:space="preserve">Audit Assurance &amp; Compliance</x:t>
        </x:is>
      </x:c>
      <x:c r="B3" s="4" t="inlineStr">
        <x:is>
          <x:t xml:space="preserve">Independent Audits</x:t>
        </x:is>
      </x:c>
      <x:c r="C3" t="inlineStr">
        <x:is>
          <x:t xml:space="preserve">AAC-02</x:t>
        </x:is>
      </x:c>
      <x:c r="D3" s="4" t="inlineStr">
        <x:is>
          <x:t xml:space="preserve">Independent reviews and assessments shall be performed at least annually to ensure that the organization addresses nonconformities of established policies, standards, procedures, and compliance obligations.</x:t>
        </x:is>
      </x:c>
      <x:c r="E3" t="inlineStr">
        <x:is>
          <x:t xml:space="preserve">AAC</x:t>
        </x:is>
      </x:c>
      <x:c r="F3" t="inlineStr">
        <x:is>
          <x:t xml:space="preserve">Annual</x:t>
        </x:is>
      </x:c>
      <x:c r="H3" t="inlineStr">
        <x:is>
          <x:t xml:space="preserve">NotStarted</x:t>
        </x:is>
      </x:c>
      <x:c r="M3" s="4" t="inlineStr">
        <x:is>
          <x:t xml:space="preserve"/>
        </x:is>
      </x:c>
    </x:row>
    <x:row r="4">
      <x:c r="A4" s="4" t="inlineStr">
        <x:is>
          <x:t xml:space="preserve">Audit Assurance &amp; Compliance</x:t>
        </x:is>
      </x:c>
      <x:c r="B4" s="4" t="inlineStr">
        <x:is>
          <x:t xml:space="preserve">Information System Regulatory Mapping</x:t>
        </x:is>
      </x:c>
      <x:c r="C4" t="inlineStr">
        <x:is>
          <x:t xml:space="preserve">AAC-03</x:t>
        </x:is>
      </x:c>
      <x:c r="D4" s="4" t="inlineStr">
        <x:is>
          <x:t xml:space="preserve">Organizations shall create and maintain a control framework which captures standards, regulatory, legal, and statutory requirements relevant for their business needs. The control framework shall be reviewed at least annually to ensure changes that could affect the business processes are reflected.</x:t>
        </x:is>
      </x:c>
      <x:c r="E4" t="inlineStr">
        <x:is>
          <x:t xml:space="preserve">AAC</x:t>
        </x:is>
      </x:c>
      <x:c r="F4" t="inlineStr">
        <x:is>
          <x:t xml:space="preserve">Annual</x:t>
        </x:is>
      </x:c>
      <x:c r="H4" t="inlineStr">
        <x:is>
          <x:t xml:space="preserve">NotStarted</x:t>
        </x:is>
      </x:c>
      <x:c r="M4" s="4" t="inlineStr">
        <x:is>
          <x:t xml:space="preserve"/>
        </x:is>
      </x:c>
    </x:row>
    <x:row r="5">
      <x:c r="A5" s="4" t="inlineStr">
        <x:is>
          <x:t xml:space="preserve">Business Continuity Management &amp; Operational Resilience</x:t>
        </x:is>
      </x:c>
      <x:c r="B5" s="4" t="inlineStr">
        <x:is>
          <x:t xml:space="preserve">Business Continuity Planning</x:t>
        </x:is>
      </x:c>
      <x:c r="C5" t="inlineStr">
        <x:is>
          <x:t xml:space="preserve">BCR-01</x:t>
        </x:is>
      </x:c>
      <x:c r="D5" s="4" t="inlineStr">
        <x:is>
          <x:t xml:space="preserve">A consistent unified framework for business continuity planning and plan development shall be established, documented, and adopted to ensure all business continuity plans are consistent in addressing priorities for testing, maintenance, and information security requirements.
Requirements for business continuity plans include the following:
• Defined purpose and scope, aligned with relevant dependencies
• Accessible to and understood by those who will use them
• Owned by a named person(s) who is responsible for their review, update, and approval
• Defined lines of communication, roles, and responsibilities
• Detailed recovery procedures, manual work-around, and reference information
• Method for plan invocation</x:t>
        </x:is>
      </x:c>
      <x:c r="E5" t="inlineStr">
        <x:is>
          <x:t xml:space="preserve">BCR</x:t>
        </x:is>
      </x:c>
      <x:c r="H5" t="inlineStr">
        <x:is>
          <x:t xml:space="preserve">NotStarted</x:t>
        </x:is>
      </x:c>
      <x:c r="M5" s="4" t="inlineStr">
        <x:is>
          <x:t xml:space="preserve"/>
        </x:is>
      </x:c>
    </x:row>
    <x:row r="6">
      <x:c r="A6" s="4" t="inlineStr">
        <x:is>
          <x:t xml:space="preserve">Business Continuity Management &amp; Operational Resilience</x:t>
        </x:is>
      </x:c>
      <x:c r="B6" s="4" t="inlineStr">
        <x:is>
          <x:t xml:space="preserve">Business Continuity Testing</x:t>
        </x:is>
      </x:c>
      <x:c r="C6" t="inlineStr">
        <x:is>
          <x:t xml:space="preserve">BCR-02</x:t>
        </x:is>
      </x:c>
      <x:c r="D6" s="4" t="inlineStr">
        <x:is>
          <x:t xml:space="preserve">Business continuity and security incident response plans shall be subject to testing at planned intervals or upon significant organizational or environmental changes. Incident response plans shall involve impacted customers (tenant) and other business relationships that represent critical intra-supply chain business process dependencies.</x:t>
        </x:is>
      </x:c>
      <x:c r="E6" t="inlineStr">
        <x:is>
          <x:t xml:space="preserve">BCR</x:t>
        </x:is>
      </x:c>
      <x:c r="F6" t="inlineStr">
        <x:is>
          <x:t xml:space="preserve">Planned intervals</x:t>
        </x:is>
      </x:c>
      <x:c r="H6" t="inlineStr">
        <x:is>
          <x:t xml:space="preserve">NotStarted</x:t>
        </x:is>
      </x:c>
      <x:c r="M6" s="4" t="inlineStr">
        <x:is>
          <x:t xml:space="preserve"/>
        </x:is>
      </x:c>
    </x:row>
    <x:row r="7">
      <x:c r="A7" s="4" t="inlineStr">
        <x:is>
          <x:t xml:space="preserve">Business Continuity Management &amp; Operational Resilience</x:t>
        </x:is>
      </x:c>
      <x:c r="B7" s="4" t="inlineStr">
        <x:is>
          <x:t xml:space="preserve">Datacenter Utilities / Environmental Conditions</x:t>
        </x:is>
      </x:c>
      <x:c r="C7" t="inlineStr">
        <x:is>
          <x:t xml:space="preserve">BCR-03</x:t>
        </x:is>
      </x:c>
      <x:c r="D7" s="4" t="inlineStr">
        <x:is>
          <x:t xml:space="preserve">Datacenter utilities services and environmental conditions (e.g., water, power, temperature and humidity controls, telecommunications, and internet connectivity) shall be secured, monitored, maintained, and tested for continual effectiveness at planned intervals to ensure protection from unauthorized interception or damage, and designed with automated failover or other redundancies in the event of planned or unplanned disruptions.</x:t>
        </x:is>
      </x:c>
      <x:c r="E7" t="inlineStr">
        <x:is>
          <x:t xml:space="preserve">BCR</x:t>
        </x:is>
      </x:c>
      <x:c r="F7" t="inlineStr">
        <x:is>
          <x:t xml:space="preserve">Planned intervals</x:t>
        </x:is>
      </x:c>
      <x:c r="H7" t="inlineStr">
        <x:is>
          <x:t xml:space="preserve">NotStarted</x:t>
        </x:is>
      </x:c>
      <x:c r="M7" s="4" t="inlineStr">
        <x:is>
          <x:t xml:space="preserve"/>
        </x:is>
      </x:c>
    </x:row>
    <x:row r="8">
      <x:c r="A8" s="4" t="inlineStr">
        <x:is>
          <x:t xml:space="preserve">Business Continuity Management &amp; Operational Resilience</x:t>
        </x:is>
      </x:c>
      <x:c r="B8" s="4" t="inlineStr">
        <x:is>
          <x:t xml:space="preserve">Documentation</x:t>
        </x:is>
      </x:c>
      <x:c r="C8" t="inlineStr">
        <x:is>
          <x:t xml:space="preserve">BCR-04</x:t>
        </x:is>
      </x:c>
      <x:c r="D8" s="4" t="inlineStr">
        <x:is>
          <x:t xml:space="preserve">Information system documentation (e.g., administrator and user guides, and architecture diagrams) shall be made available to authorized personnel to ensure the following:
• Configuring, installing, and operating the information system
• Effectively using the system’s security features</x:t>
        </x:is>
      </x:c>
      <x:c r="E8" t="inlineStr">
        <x:is>
          <x:t xml:space="preserve">BCR</x:t>
        </x:is>
      </x:c>
      <x:c r="H8" t="inlineStr">
        <x:is>
          <x:t xml:space="preserve">NotStarted</x:t>
        </x:is>
      </x:c>
      <x:c r="M8" s="4" t="inlineStr">
        <x:is>
          <x:t xml:space="preserve"/>
        </x:is>
      </x:c>
    </x:row>
    <x:row r="9">
      <x:c r="A9" s="4" t="inlineStr">
        <x:is>
          <x:t xml:space="preserve">Business Continuity Management &amp; Operational Resilience</x:t>
        </x:is>
      </x:c>
      <x:c r="B9" s="4" t="inlineStr">
        <x:is>
          <x:t xml:space="preserve">Environmental Risks</x:t>
        </x:is>
      </x:c>
      <x:c r="C9" t="inlineStr">
        <x:is>
          <x:t xml:space="preserve">BCR-05</x:t>
        </x:is>
      </x:c>
      <x:c r="D9" s="4" t="inlineStr">
        <x:is>
          <x:t xml:space="preserve">Physical protection against damage from natural causes and disasters, as well as deliberate attacks, including fire, flood, atmospheric electrical discharge, solar induced geomagnetic storm, wind, earthquake, tsunami, explosion, nuclear accident, volcanic activity, biological hazard, civil unrest, mudslide, tectonic activity, and other forms of natural or man-made disaster shall be anticipated, designed, and have countermeasures applied.</x:t>
        </x:is>
      </x:c>
      <x:c r="E9" t="inlineStr">
        <x:is>
          <x:t xml:space="preserve">BCR</x:t>
        </x:is>
      </x:c>
      <x:c r="H9" t="inlineStr">
        <x:is>
          <x:t xml:space="preserve">NotStarted</x:t>
        </x:is>
      </x:c>
      <x:c r="M9" s="4" t="inlineStr">
        <x:is>
          <x:t xml:space="preserve"/>
        </x:is>
      </x:c>
    </x:row>
    <x:row r="10">
      <x:c r="A10" s="4" t="inlineStr">
        <x:is>
          <x:t xml:space="preserve">Business Continuity Management &amp; Operational Resilience</x:t>
        </x:is>
      </x:c>
      <x:c r="B10" s="4" t="inlineStr">
        <x:is>
          <x:t xml:space="preserve">Equipment Location</x:t>
        </x:is>
      </x:c>
      <x:c r="C10" t="inlineStr">
        <x:is>
          <x:t xml:space="preserve">BCR-06</x:t>
        </x:is>
      </x:c>
      <x:c r="D10" s="4" t="inlineStr">
        <x:is>
          <x:t xml:space="preserve">To reduce the risks from environmental threats, hazards, and opportunities for unauthorized access, equipment shall be kept away from locations subject to high probability environmental risks and supplemented by redundant equipment located at a reasonable distance.</x:t>
        </x:is>
      </x:c>
      <x:c r="E10" t="inlineStr">
        <x:is>
          <x:t xml:space="preserve">BCR</x:t>
        </x:is>
      </x:c>
      <x:c r="H10" t="inlineStr">
        <x:is>
          <x:t xml:space="preserve">NotStarted</x:t>
        </x:is>
      </x:c>
      <x:c r="M10" s="4" t="inlineStr">
        <x:is>
          <x:t xml:space="preserve"/>
        </x:is>
      </x:c>
    </x:row>
    <x:row r="11">
      <x:c r="A11" s="4" t="inlineStr">
        <x:is>
          <x:t xml:space="preserve">Business Continuity Management &amp; Operational Resilience</x:t>
        </x:is>
      </x:c>
      <x:c r="B11" s="4" t="inlineStr">
        <x:is>
          <x:t xml:space="preserve">Equipment Maintenance</x:t>
        </x:is>
      </x:c>
      <x:c r="C11" t="inlineStr">
        <x:is>
          <x:t xml:space="preserve">BCR-07</x:t>
        </x:is>
      </x:c>
      <x:c r="D11" s="4" t="inlineStr">
        <x:is>
          <x:t xml:space="preserve">Policies and procedures shall be established, and supporting business processes and technical measures implemented, for equipment maintenance ensuring continuity and availability of operations and support personnel.</x:t>
        </x:is>
      </x:c>
      <x:c r="E11" t="inlineStr">
        <x:is>
          <x:t xml:space="preserve">BCR</x:t>
        </x:is>
      </x:c>
      <x:c r="H11" t="inlineStr">
        <x:is>
          <x:t xml:space="preserve">NotStarted</x:t>
        </x:is>
      </x:c>
      <x:c r="M11" s="4" t="inlineStr">
        <x:is>
          <x:t xml:space="preserve"/>
        </x:is>
      </x:c>
    </x:row>
    <x:row r="12">
      <x:c r="A12" s="4" t="inlineStr">
        <x:is>
          <x:t xml:space="preserve">Business Continuity Management &amp; Operational Resilience</x:t>
        </x:is>
      </x:c>
      <x:c r="B12" s="4" t="inlineStr">
        <x:is>
          <x:t xml:space="preserve">Equipment Power Failures</x:t>
        </x:is>
      </x:c>
      <x:c r="C12" t="inlineStr">
        <x:is>
          <x:t xml:space="preserve">BCR-08</x:t>
        </x:is>
      </x:c>
      <x:c r="D12" s="4" t="inlineStr">
        <x:is>
          <x:t xml:space="preserve">Protection measures shall be put into place to react to natural and man-made threats based upon a geographically-specific business impact assessment.</x:t>
        </x:is>
      </x:c>
      <x:c r="E12" t="inlineStr">
        <x:is>
          <x:t xml:space="preserve">BCR</x:t>
        </x:is>
      </x:c>
      <x:c r="H12" t="inlineStr">
        <x:is>
          <x:t xml:space="preserve">NotStarted</x:t>
        </x:is>
      </x:c>
      <x:c r="M12" s="4" t="inlineStr">
        <x:is>
          <x:t xml:space="preserve"/>
        </x:is>
      </x:c>
    </x:row>
    <x:row r="13">
      <x:c r="A13" s="4" t="inlineStr">
        <x:is>
          <x:t xml:space="preserve">Business Continuity Management &amp; Operational Resilience</x:t>
        </x:is>
      </x:c>
      <x:c r="B13" s="4" t="inlineStr">
        <x:is>
          <x:t xml:space="preserve">Impact Analysis</x:t>
        </x:is>
      </x:c>
      <x:c r="C13" t="inlineStr">
        <x:is>
          <x:t xml:space="preserve">BCR-09</x:t>
        </x:is>
      </x:c>
      <x:c r="D13" s="4" t="inlineStr">
        <x:is>
          <x:t xml:space="preserve">There shall be a defined and documented method for determining the impact of any disruption to the organization (cloud provider, cloud consumer) that must incorporate the following:
• Identify critical products and services
• Identify all dependencies, including processes, applications, business partners, and third party service providers
• Understand threats to critical products and services
• Determine impacts resulting from planned or unplanned disruptions and how these vary over time
• Establish the maximum tolerable period for disruption
• Establish priorities for recovery
• Establish recovery time objectives for resumption of critical products and services within their maximum tolerable period of disruption
• Estimate the resources required for resumption</x:t>
        </x:is>
      </x:c>
      <x:c r="E13" t="inlineStr">
        <x:is>
          <x:t xml:space="preserve">BCR</x:t>
        </x:is>
      </x:c>
      <x:c r="H13" t="inlineStr">
        <x:is>
          <x:t xml:space="preserve">NotStarted</x:t>
        </x:is>
      </x:c>
      <x:c r="M13" s="4" t="inlineStr">
        <x:is>
          <x:t xml:space="preserve"/>
        </x:is>
      </x:c>
    </x:row>
    <x:row r="14">
      <x:c r="A14" s="4" t="inlineStr">
        <x:is>
          <x:t xml:space="preserve">Business Continuity Management &amp; Operational Resilience</x:t>
        </x:is>
      </x:c>
      <x:c r="B14" s="4" t="inlineStr">
        <x:is>
          <x:t xml:space="preserve">Policy</x:t>
        </x:is>
      </x:c>
      <x:c r="C14" t="inlineStr">
        <x:is>
          <x:t xml:space="preserve">BCR-10</x:t>
        </x:is>
      </x:c>
      <x:c r="D14" s="4" t="inlineStr">
        <x:is>
          <x:t xml:space="preserve">Policies and procedures shall be established, and supporting business processes and technical measures implemented, for appropriate IT governance and service management to ensure appropriate planning, delivery, and support of the organization's IT capabilities supporting business functions, workforce, and/or customers based on industry acceptable standards (i.e., ITIL v4 and COBIT 5). Additionally, policies and procedures shall include defined roles and responsibilities supported by regular workforce training.</x:t>
        </x:is>
      </x:c>
      <x:c r="E14" t="inlineStr">
        <x:is>
          <x:t xml:space="preserve">BCR</x:t>
        </x:is>
      </x:c>
      <x:c r="H14" t="inlineStr">
        <x:is>
          <x:t xml:space="preserve">NotStarted</x:t>
        </x:is>
      </x:c>
      <x:c r="M14" s="4" t="inlineStr">
        <x:is>
          <x:t xml:space="preserve"/>
        </x:is>
      </x:c>
    </x:row>
    <x:row r="15">
      <x:c r="A15" s="4" t="inlineStr">
        <x:is>
          <x:t xml:space="preserve">Business Continuity Management &amp; Operational Resilience</x:t>
        </x:is>
      </x:c>
      <x:c r="B15" s="4" t="inlineStr">
        <x:is>
          <x:t xml:space="preserve">Retention Policy</x:t>
        </x:is>
      </x:c>
      <x:c r="C15" t="inlineStr">
        <x:is>
          <x:t xml:space="preserve">BCR-11</x:t>
        </x:is>
      </x:c>
      <x:c r="D15" s="4" t="inlineStr">
        <x:is>
          <x:t xml:space="preserve">Policies and procedures shall be established, and supporting business processes and technical measures implemented, for defining and adhering to the retention period of any critical asset as per established policies and procedures, as well as applicable legal, statutory, or regulatory compliance obligations. Backup and recovery measures shall be incorporated as part of business continuity planning and tested accordingly for effectiveness.</x:t>
        </x:is>
      </x:c>
      <x:c r="E15" t="inlineStr">
        <x:is>
          <x:t xml:space="preserve">BCR</x:t>
        </x:is>
      </x:c>
      <x:c r="H15" t="inlineStr">
        <x:is>
          <x:t xml:space="preserve">NotStarted</x:t>
        </x:is>
      </x:c>
      <x:c r="M15" s="4" t="inlineStr">
        <x:is>
          <x:t xml:space="preserve"/>
        </x:is>
      </x:c>
    </x:row>
    <x:row r="16">
      <x:c r="A16" s="4" t="inlineStr">
        <x:is>
          <x:t xml:space="preserve">Change Control &amp; Configuration Management</x:t>
        </x:is>
      </x:c>
      <x:c r="B16" s="4" t="inlineStr">
        <x:is>
          <x:t xml:space="preserve">New Development / Acquisition</x:t>
        </x:is>
      </x:c>
      <x:c r="C16" t="inlineStr">
        <x:is>
          <x:t xml:space="preserve">CCC-01</x:t>
        </x:is>
      </x:c>
      <x:c r="D16" s="4" t="inlineStr">
        <x:is>
          <x:t xml:space="preserve">Policies and procedures shall be established, and supporting business processes and technical measures implemented, to ensure the development and/or acquisition of new data, physical or virtual applications, infrastructure network, and systems components, or any corporate, operations and/or datacenter facilities have been pre-authorized by the organization's business leadership or other accountable business role or function.</x:t>
        </x:is>
      </x:c>
      <x:c r="E16" t="inlineStr">
        <x:is>
          <x:t xml:space="preserve">CCC</x:t>
        </x:is>
      </x:c>
      <x:c r="H16" t="inlineStr">
        <x:is>
          <x:t xml:space="preserve">NotStarted</x:t>
        </x:is>
      </x:c>
      <x:c r="M16" s="4" t="inlineStr">
        <x:is>
          <x:t xml:space="preserve"/>
        </x:is>
      </x:c>
    </x:row>
    <x:row r="17">
      <x:c r="A17" s="4" t="inlineStr">
        <x:is>
          <x:t xml:space="preserve">Change Control &amp; Configuration Management</x:t>
        </x:is>
      </x:c>
      <x:c r="B17" s="4" t="inlineStr">
        <x:is>
          <x:t xml:space="preserve">Outsourced Development</x:t>
        </x:is>
      </x:c>
      <x:c r="C17" t="inlineStr">
        <x:is>
          <x:t xml:space="preserve">CCC-02</x:t>
        </x:is>
      </x:c>
      <x:c r="D17" s="4" t="inlineStr">
        <x:is>
          <x:t xml:space="preserve">External business partners shall adhere to the same policies and procedures for change management, release, and testing as internal developers within the organization (e.g., ITIL service management processes).</x:t>
        </x:is>
      </x:c>
      <x:c r="E17" t="inlineStr">
        <x:is>
          <x:t xml:space="preserve">CCC</x:t>
        </x:is>
      </x:c>
      <x:c r="H17" t="inlineStr">
        <x:is>
          <x:t xml:space="preserve">NotStarted</x:t>
        </x:is>
      </x:c>
      <x:c r="M17" s="4" t="inlineStr">
        <x:is>
          <x:t xml:space="preserve"/>
        </x:is>
      </x:c>
    </x:row>
    <x:row r="18">
      <x:c r="A18" s="4" t="inlineStr">
        <x:is>
          <x:t xml:space="preserve">Change Control &amp; Configuration Management</x:t>
        </x:is>
      </x:c>
      <x:c r="B18" s="4" t="inlineStr">
        <x:is>
          <x:t xml:space="preserve">Quality Testing</x:t>
        </x:is>
      </x:c>
      <x:c r="C18" t="inlineStr">
        <x:is>
          <x:t xml:space="preserve">CCC-03</x:t>
        </x:is>
      </x:c>
      <x:c r="D18" s="4" t="inlineStr">
        <x:is>
          <x:t xml:space="preserve">Organization shall follow a defined quality change control and testing process (e.g., ITIL Service Management) with established baselines, testing, and release standards that focus on system availability, confidentiality, and integrity of systems and services.</x:t>
        </x:is>
      </x:c>
      <x:c r="E18" t="inlineStr">
        <x:is>
          <x:t xml:space="preserve">CCC</x:t>
        </x:is>
      </x:c>
      <x:c r="H18" t="inlineStr">
        <x:is>
          <x:t xml:space="preserve">NotStarted</x:t>
        </x:is>
      </x:c>
      <x:c r="M18" s="4" t="inlineStr">
        <x:is>
          <x:t xml:space="preserve"/>
        </x:is>
      </x:c>
    </x:row>
    <x:row r="19">
      <x:c r="A19" s="4" t="inlineStr">
        <x:is>
          <x:t xml:space="preserve">Change Control &amp; Configuration Management</x:t>
        </x:is>
      </x:c>
      <x:c r="B19" s="4" t="inlineStr">
        <x:is>
          <x:t xml:space="preserve">Unauthorized Software Installations</x:t>
        </x:is>
      </x:c>
      <x:c r="C19" t="inlineStr">
        <x:is>
          <x:t xml:space="preserve">CCC-04</x:t>
        </x:is>
      </x:c>
      <x:c r="D19" s="4" t="inlineStr">
        <x:is>
          <x:t xml:space="preserve">Policies and procedures shall be established, and supporting business processes and technical measures implemented, to restrict the installation of unauthorized software on organizationally-owned or managed user endpoint devices (e.g., issued workstations, laptops, and mobile devices) and IT infrastructure network and systems components.</x:t>
        </x:is>
      </x:c>
      <x:c r="E19" t="inlineStr">
        <x:is>
          <x:t xml:space="preserve">CCC</x:t>
        </x:is>
      </x:c>
      <x:c r="H19" t="inlineStr">
        <x:is>
          <x:t xml:space="preserve">NotStarted</x:t>
        </x:is>
      </x:c>
      <x:c r="M19" s="4" t="inlineStr">
        <x:is>
          <x:t xml:space="preserve"/>
        </x:is>
      </x:c>
    </x:row>
    <x:row r="20">
      <x:c r="A20" s="4" t="inlineStr">
        <x:is>
          <x:t xml:space="preserve">Change Control &amp; Configuration Management</x:t>
        </x:is>
      </x:c>
      <x:c r="B20" s="4" t="inlineStr">
        <x:is>
          <x:t xml:space="preserve">Production Changes</x:t>
        </x:is>
      </x:c>
      <x:c r="C20" t="inlineStr">
        <x:is>
          <x:t xml:space="preserve">CCC-05</x:t>
        </x:is>
      </x:c>
      <x:c r="D20" s="4" t="inlineStr">
        <x:is>
          <x:t xml:space="preserve">Policies and procedures shall be established for managing the risks associated with applying changes to:
• Business-critical or customer (tenant)-impacting (physical and virtual) applications and system-system interface (API) designs and configurations.
• Infrastructure network and systems components.
Technical measures shall be implemented to provide assurance that all changes directly correspond to a registered change request, business-critical or customer (tenant), and/or authorization by, the customer (tenant) as per agreement (SLA) prior to deployment.</x:t>
        </x:is>
      </x:c>
      <x:c r="E20" t="inlineStr">
        <x:is>
          <x:t xml:space="preserve">CCC</x:t>
        </x:is>
      </x:c>
      <x:c r="H20" t="inlineStr">
        <x:is>
          <x:t xml:space="preserve">NotStarted</x:t>
        </x:is>
      </x:c>
      <x:c r="M20" s="4" t="inlineStr">
        <x:is>
          <x:t xml:space="preserve"/>
        </x:is>
      </x:c>
    </x:row>
    <x:row r="21">
      <x:c r="A21" s="4" t="inlineStr">
        <x:is>
          <x:t xml:space="preserve">Data Security &amp; Information Lifecycle Management</x:t>
        </x:is>
      </x:c>
      <x:c r="B21" s="4" t="inlineStr">
        <x:is>
          <x:t xml:space="preserve">Classification</x:t>
        </x:is>
      </x:c>
      <x:c r="C21" t="inlineStr">
        <x:is>
          <x:t xml:space="preserve">DSI-01</x:t>
        </x:is>
      </x:c>
      <x:c r="D21" s="4" t="inlineStr">
        <x:is>
          <x:t xml:space="preserve">Data and objects containing data shall be assigned a classification by the data owner based on data type, value, sensitivity, and criticality to the organization.</x:t>
        </x:is>
      </x:c>
      <x:c r="E21" t="inlineStr">
        <x:is>
          <x:t xml:space="preserve">DSI</x:t>
        </x:is>
      </x:c>
      <x:c r="H21" t="inlineStr">
        <x:is>
          <x:t xml:space="preserve">NotStarted</x:t>
        </x:is>
      </x:c>
      <x:c r="M21" s="4" t="inlineStr">
        <x:is>
          <x:t xml:space="preserve"/>
        </x:is>
      </x:c>
    </x:row>
    <x:row r="22">
      <x:c r="A22" s="4" t="inlineStr">
        <x:is>
          <x:t xml:space="preserve">Data Security &amp; Information Lifecycle Management</x:t>
        </x:is>
      </x:c>
      <x:c r="B22" s="4" t="inlineStr">
        <x:is>
          <x:t xml:space="preserve">Data Inventory / Flows</x:t>
        </x:is>
      </x:c>
      <x:c r="C22" t="inlineStr">
        <x:is>
          <x:t xml:space="preserve">DSI-02</x:t>
        </x:is>
      </x:c>
      <x:c r="D22" s="4" t="inlineStr">
        <x:is>
          <x:t xml:space="preserve">Policies and procedures shall be established, and supporting business processes and technical measures implemented, to inventory, document, and maintain data flows for data that is resident (permanently or temporarily) within the service's geographically distributed (physical and virtual) applications and infrastructure network and systems components and/or shared with other third parties to ascertain any regulatory, statutory, or supply chain agreement (SLA) compliance impact, and to address any other business risks associated with the data. Upon request, provider shall inform customer (tenant) of compliance impact and risk, especially if customer data is used as part of the services.</x:t>
        </x:is>
      </x:c>
      <x:c r="E22" t="inlineStr">
        <x:is>
          <x:t xml:space="preserve">DSI</x:t>
        </x:is>
      </x:c>
      <x:c r="H22" t="inlineStr">
        <x:is>
          <x:t xml:space="preserve">NotStarted</x:t>
        </x:is>
      </x:c>
      <x:c r="M22" s="4" t="inlineStr">
        <x:is>
          <x:t xml:space="preserve"/>
        </x:is>
      </x:c>
    </x:row>
    <x:row r="23">
      <x:c r="A23" s="4" t="inlineStr">
        <x:is>
          <x:t xml:space="preserve">Data Security &amp; Information Lifecycle Management</x:t>
        </x:is>
      </x:c>
      <x:c r="B23" s="4" t="inlineStr">
        <x:is>
          <x:t xml:space="preserve">Ecommerce Transactions</x:t>
        </x:is>
      </x:c>
      <x:c r="C23" t="inlineStr">
        <x:is>
          <x:t xml:space="preserve">DSI-03</x:t>
        </x:is>
      </x:c>
      <x:c r="D23" s="4" t="inlineStr">
        <x:is>
          <x:t xml:space="preserve">Data related to electronic commerce (ecommerce) that traverses public networks shall be appropriately classified and protected from fraudulent activity, unauthorized disclosure, or modification in such a manner to prevent contract dispute and compromise of data.</x:t>
        </x:is>
      </x:c>
      <x:c r="E23" t="inlineStr">
        <x:is>
          <x:t xml:space="preserve">DSI</x:t>
        </x:is>
      </x:c>
      <x:c r="H23" t="inlineStr">
        <x:is>
          <x:t xml:space="preserve">NotStarted</x:t>
        </x:is>
      </x:c>
      <x:c r="M23" s="4" t="inlineStr">
        <x:is>
          <x:t xml:space="preserve"/>
        </x:is>
      </x:c>
    </x:row>
    <x:row r="24">
      <x:c r="A24" s="4" t="inlineStr">
        <x:is>
          <x:t xml:space="preserve">Data Security &amp; Information Lifecycle Management</x:t>
        </x:is>
      </x:c>
      <x:c r="B24" s="4" t="inlineStr">
        <x:is>
          <x:t xml:space="preserve">Handling / Labeling / Security Policy</x:t>
        </x:is>
      </x:c>
      <x:c r="C24" t="inlineStr">
        <x:is>
          <x:t xml:space="preserve">DSI-04</x:t>
        </x:is>
      </x:c>
      <x:c r="D24" s="4" t="inlineStr">
        <x:is>
          <x:t xml:space="preserve">Policies and procedures shall be established for the labeling, handling, and security of data and objects which contain data. Mechanisms for label inheritance shall be implemented for objects that act as aggregate containers for data.</x:t>
        </x:is>
      </x:c>
      <x:c r="E24" t="inlineStr">
        <x:is>
          <x:t xml:space="preserve">DSI</x:t>
        </x:is>
      </x:c>
      <x:c r="H24" t="inlineStr">
        <x:is>
          <x:t xml:space="preserve">NotStarted</x:t>
        </x:is>
      </x:c>
      <x:c r="M24" s="4" t="inlineStr">
        <x:is>
          <x:t xml:space="preserve"/>
        </x:is>
      </x:c>
    </x:row>
    <x:row r="25">
      <x:c r="A25" s="4" t="inlineStr">
        <x:is>
          <x:t xml:space="preserve">Data Security &amp; Information Lifecycle Management</x:t>
        </x:is>
      </x:c>
      <x:c r="B25" s="4" t="inlineStr">
        <x:is>
          <x:t xml:space="preserve">Non-Production Data</x:t>
        </x:is>
      </x:c>
      <x:c r="C25" t="inlineStr">
        <x:is>
          <x:t xml:space="preserve">DSI-05</x:t>
        </x:is>
      </x:c>
      <x:c r="D25" s="4" t="inlineStr">
        <x:is>
          <x:t xml:space="preserve">Production data shall not be replicated or used in non-production environments. Any use of customer data in non-production environments requires explicit, documented approval from all customers whose data is affected, and must comply with all legal and regulatory requirements for scrubbing of sensitive data elements.</x:t>
        </x:is>
      </x:c>
      <x:c r="E25" t="inlineStr">
        <x:is>
          <x:t xml:space="preserve">DSI</x:t>
        </x:is>
      </x:c>
      <x:c r="H25" t="inlineStr">
        <x:is>
          <x:t xml:space="preserve">NotStarted</x:t>
        </x:is>
      </x:c>
      <x:c r="M25" s="4" t="inlineStr">
        <x:is>
          <x:t xml:space="preserve"/>
        </x:is>
      </x:c>
    </x:row>
    <x:row r="26">
      <x:c r="A26" s="4" t="inlineStr">
        <x:is>
          <x:t xml:space="preserve">Data Security &amp; Information Lifecycle Management</x:t>
        </x:is>
      </x:c>
      <x:c r="B26" s="4" t="inlineStr">
        <x:is>
          <x:t xml:space="preserve">Ownership / Stewardship</x:t>
        </x:is>
      </x:c>
      <x:c r="C26" t="inlineStr">
        <x:is>
          <x:t xml:space="preserve">DSI-06</x:t>
        </x:is>
      </x:c>
      <x:c r="D26" s="4" t="inlineStr">
        <x:is>
          <x:t xml:space="preserve">All data shall be designated with stewardship, with assigned responsibilities defined, documented, and communicated.</x:t>
        </x:is>
      </x:c>
      <x:c r="E26" t="inlineStr">
        <x:is>
          <x:t xml:space="preserve">DSI</x:t>
        </x:is>
      </x:c>
      <x:c r="H26" t="inlineStr">
        <x:is>
          <x:t xml:space="preserve">NotStarted</x:t>
        </x:is>
      </x:c>
      <x:c r="M26" s="4" t="inlineStr">
        <x:is>
          <x:t xml:space="preserve"/>
        </x:is>
      </x:c>
    </x:row>
    <x:row r="27">
      <x:c r="A27" s="4" t="inlineStr">
        <x:is>
          <x:t xml:space="preserve">Data Security &amp; Information Lifecycle Management</x:t>
        </x:is>
      </x:c>
      <x:c r="B27" s="4" t="inlineStr">
        <x:is>
          <x:t xml:space="preserve">Secure Disposal</x:t>
        </x:is>
      </x:c>
      <x:c r="C27" t="inlineStr">
        <x:is>
          <x:t xml:space="preserve">DSI-07</x:t>
        </x:is>
      </x:c>
      <x:c r="D27" s="4" t="inlineStr">
        <x:is>
          <x:t xml:space="preserve">Policies and procedures shall be established with supporting business processes and technical measures implemented for the secure disposal and complete removal of data from all storage media, ensuring data is not recoverable by any computer forensic means.</x:t>
        </x:is>
      </x:c>
      <x:c r="E27" t="inlineStr">
        <x:is>
          <x:t xml:space="preserve">DSI</x:t>
        </x:is>
      </x:c>
      <x:c r="H27" t="inlineStr">
        <x:is>
          <x:t xml:space="preserve">NotStarted</x:t>
        </x:is>
      </x:c>
      <x:c r="M27" s="4" t="inlineStr">
        <x:is>
          <x:t xml:space="preserve"/>
        </x:is>
      </x:c>
    </x:row>
    <x:row r="28">
      <x:c r="A28" s="4" t="inlineStr">
        <x:is>
          <x:t xml:space="preserve">Datacenter Security</x:t>
        </x:is>
      </x:c>
      <x:c r="B28" s="4" t="inlineStr">
        <x:is>
          <x:t xml:space="preserve">Asset Management</x:t>
        </x:is>
      </x:c>
      <x:c r="C28" t="inlineStr">
        <x:is>
          <x:t xml:space="preserve">DCS-01</x:t>
        </x:is>
      </x:c>
      <x:c r="D28" s="4" t="inlineStr">
        <x:is>
          <x:t xml:space="preserve">Assets must be classified in terms of business criticality, service-level expectations, and operational continuity requirements. A complete inventory of business-critical assets located at all sites and/or geographical locations and their usage over time shall be maintained and updated regularly, and assigned ownership by defined roles and responsibilities.</x:t>
        </x:is>
      </x:c>
      <x:c r="E28" t="inlineStr">
        <x:is>
          <x:t xml:space="preserve">DCS</x:t>
        </x:is>
      </x:c>
      <x:c r="H28" t="inlineStr">
        <x:is>
          <x:t xml:space="preserve">NotStarted</x:t>
        </x:is>
      </x:c>
      <x:c r="M28" s="4" t="inlineStr">
        <x:is>
          <x:t xml:space="preserve"/>
        </x:is>
      </x:c>
    </x:row>
    <x:row r="29">
      <x:c r="A29" s="4" t="inlineStr">
        <x:is>
          <x:t xml:space="preserve">Datacenter Security</x:t>
        </x:is>
      </x:c>
      <x:c r="B29" s="4" t="inlineStr">
        <x:is>
          <x:t xml:space="preserve">Controlled Access Points</x:t>
        </x:is>
      </x:c>
      <x:c r="C29" t="inlineStr">
        <x:is>
          <x:t xml:space="preserve">DCS-02</x:t>
        </x:is>
      </x:c>
      <x:c r="D29" s="4" t="inlineStr">
        <x:is>
          <x:t xml:space="preserve">Physical security perimeters (e.g., fences, walls, barriers, guards, gates, electronic surveillance, physical authentication mechanisms, reception desks, and security patrols) shall be implemented to safeguard sensitive data and information systems.</x:t>
        </x:is>
      </x:c>
      <x:c r="E29" t="inlineStr">
        <x:is>
          <x:t xml:space="preserve">DCS</x:t>
        </x:is>
      </x:c>
      <x:c r="H29" t="inlineStr">
        <x:is>
          <x:t xml:space="preserve">NotStarted</x:t>
        </x:is>
      </x:c>
      <x:c r="M29" s="4" t="inlineStr">
        <x:is>
          <x:t xml:space="preserve"/>
        </x:is>
      </x:c>
    </x:row>
    <x:row r="30">
      <x:c r="A30" s="4" t="inlineStr">
        <x:is>
          <x:t xml:space="preserve">Datacenter Security</x:t>
        </x:is>
      </x:c>
      <x:c r="B30" s="4" t="inlineStr">
        <x:is>
          <x:t xml:space="preserve">Equipment Identification</x:t>
        </x:is>
      </x:c>
      <x:c r="C30" t="inlineStr">
        <x:is>
          <x:t xml:space="preserve">DCS-03</x:t>
        </x:is>
      </x:c>
      <x:c r="D30" s="4" t="inlineStr">
        <x:is>
          <x:t xml:space="preserve">Automated equipment identification shall be used as a method of connection authentication. Location-aware technologies may be used to validate connection authentication integrity based on known equipment location.</x:t>
        </x:is>
      </x:c>
      <x:c r="E30" t="inlineStr">
        <x:is>
          <x:t xml:space="preserve">DCS</x:t>
        </x:is>
      </x:c>
      <x:c r="H30" t="inlineStr">
        <x:is>
          <x:t xml:space="preserve">NotStarted</x:t>
        </x:is>
      </x:c>
      <x:c r="M30" s="4" t="inlineStr">
        <x:is>
          <x:t xml:space="preserve"/>
        </x:is>
      </x:c>
    </x:row>
    <x:row r="31">
      <x:c r="A31" s="4" t="inlineStr">
        <x:is>
          <x:t xml:space="preserve">Datacenter Security</x:t>
        </x:is>
      </x:c>
      <x:c r="B31" s="4" t="inlineStr">
        <x:is>
          <x:t xml:space="preserve">Off-Site Authorization</x:t>
        </x:is>
      </x:c>
      <x:c r="C31" t="inlineStr">
        <x:is>
          <x:t xml:space="preserve">DCS-04</x:t>
        </x:is>
      </x:c>
      <x:c r="D31" s="4" t="inlineStr">
        <x:is>
          <x:t xml:space="preserve">Authorization must be obtained prior to relocation or transfer of hardware, software, or data to an offsite premises.</x:t>
        </x:is>
      </x:c>
      <x:c r="E31" t="inlineStr">
        <x:is>
          <x:t xml:space="preserve">DCS</x:t>
        </x:is>
      </x:c>
      <x:c r="H31" t="inlineStr">
        <x:is>
          <x:t xml:space="preserve">NotStarted</x:t>
        </x:is>
      </x:c>
      <x:c r="M31" s="4" t="inlineStr">
        <x:is>
          <x:t xml:space="preserve"/>
        </x:is>
      </x:c>
    </x:row>
    <x:row r="32">
      <x:c r="A32" s="4" t="inlineStr">
        <x:is>
          <x:t xml:space="preserve">Datacenter Security</x:t>
        </x:is>
      </x:c>
      <x:c r="B32" s="4" t="inlineStr">
        <x:is>
          <x:t xml:space="preserve">Off-Site Equipment</x:t>
        </x:is>
      </x:c>
      <x:c r="C32" t="inlineStr">
        <x:is>
          <x:t xml:space="preserve">DCS-05</x:t>
        </x:is>
      </x:c>
      <x:c r="D32" s="4" t="inlineStr">
        <x:is>
          <x:t xml:space="preserve">Policies and procedures shall be established for the secure disposal of equipment (by asset type) used outside the organization's premises. This shall include a wiping solution or destruction process that renders recovery of information impossible. The erasure shall consist of a full overwrite of the drive to ensure that the erased drive is released to inventory for reuse and deployment, or securely stored until it can be destroyed.</x:t>
        </x:is>
      </x:c>
      <x:c r="E32" t="inlineStr">
        <x:is>
          <x:t xml:space="preserve">DCS</x:t>
        </x:is>
      </x:c>
      <x:c r="H32" t="inlineStr">
        <x:is>
          <x:t xml:space="preserve">NotStarted</x:t>
        </x:is>
      </x:c>
      <x:c r="M32" s="4" t="inlineStr">
        <x:is>
          <x:t xml:space="preserve"/>
        </x:is>
      </x:c>
    </x:row>
    <x:row r="33">
      <x:c r="A33" s="4" t="inlineStr">
        <x:is>
          <x:t xml:space="preserve">Datacenter Security</x:t>
        </x:is>
      </x:c>
      <x:c r="B33" s="4" t="inlineStr">
        <x:is>
          <x:t xml:space="preserve">Policy</x:t>
        </x:is>
      </x:c>
      <x:c r="C33" t="inlineStr">
        <x:is>
          <x:t xml:space="preserve">DCS-06</x:t>
        </x:is>
      </x:c>
      <x:c r="D33" s="4" t="inlineStr">
        <x:is>
          <x:t xml:space="preserve">Policies and procedures shall be established, and supporting business processes implemented, for maintaining a safe and secure working environment in offices, rooms, facilities, and secure areas storing sensitive information.</x:t>
        </x:is>
      </x:c>
      <x:c r="E33" t="inlineStr">
        <x:is>
          <x:t xml:space="preserve">DCS</x:t>
        </x:is>
      </x:c>
      <x:c r="H33" t="inlineStr">
        <x:is>
          <x:t xml:space="preserve">NotStarted</x:t>
        </x:is>
      </x:c>
      <x:c r="M33" s="4" t="inlineStr">
        <x:is>
          <x:t xml:space="preserve"/>
        </x:is>
      </x:c>
    </x:row>
    <x:row r="34">
      <x:c r="A34" s="4" t="inlineStr">
        <x:is>
          <x:t xml:space="preserve">Datacenter Security</x:t>
        </x:is>
      </x:c>
      <x:c r="B34" s="4" t="inlineStr">
        <x:is>
          <x:t xml:space="preserve">Secure Area Authorization</x:t>
        </x:is>
      </x:c>
      <x:c r="C34" t="inlineStr">
        <x:is>
          <x:t xml:space="preserve">DCS-07</x:t>
        </x:is>
      </x:c>
      <x:c r="D34" s="4" t="inlineStr">
        <x:is>
          <x:t xml:space="preserve">Ingress and egress to secure areas shall be constrained and monitored by physical access control mechanisms to ensure that only authorized personnel are allowed access.</x:t>
        </x:is>
      </x:c>
      <x:c r="E34" t="inlineStr">
        <x:is>
          <x:t xml:space="preserve">DCS</x:t>
        </x:is>
      </x:c>
      <x:c r="H34" t="inlineStr">
        <x:is>
          <x:t xml:space="preserve">NotStarted</x:t>
        </x:is>
      </x:c>
      <x:c r="M34" s="4" t="inlineStr">
        <x:is>
          <x:t xml:space="preserve"/>
        </x:is>
      </x:c>
    </x:row>
    <x:row r="35">
      <x:c r="A35" s="4" t="inlineStr">
        <x:is>
          <x:t xml:space="preserve">Datacenter Security</x:t>
        </x:is>
      </x:c>
      <x:c r="B35" s="4" t="inlineStr">
        <x:is>
          <x:t xml:space="preserve">Unauthorized Persons Entry</x:t>
        </x:is>
      </x:c>
      <x:c r="C35" t="inlineStr">
        <x:is>
          <x:t xml:space="preserve">DCS-08</x:t>
        </x:is>
      </x:c>
      <x:c r="D35" s="4" t="inlineStr">
        <x:is>
          <x:t xml:space="preserve">Ingress and egress points such as service areas and other points where unauthorized personnel may enter the premises shall be monitored, controlled and, if possible, isolated from data storage and processing facilities to prevent unauthorized data corruption, compromise, and loss.</x:t>
        </x:is>
      </x:c>
      <x:c r="E35" t="inlineStr">
        <x:is>
          <x:t xml:space="preserve">DCS</x:t>
        </x:is>
      </x:c>
      <x:c r="H35" t="inlineStr">
        <x:is>
          <x:t xml:space="preserve">NotStarted</x:t>
        </x:is>
      </x:c>
      <x:c r="M35" s="4" t="inlineStr">
        <x:is>
          <x:t xml:space="preserve"/>
        </x:is>
      </x:c>
    </x:row>
    <x:row r="36">
      <x:c r="A36" s="4" t="inlineStr">
        <x:is>
          <x:t xml:space="preserve">Datacenter Security</x:t>
        </x:is>
      </x:c>
      <x:c r="B36" s="4" t="inlineStr">
        <x:is>
          <x:t xml:space="preserve">User Access</x:t>
        </x:is>
      </x:c>
      <x:c r="C36" t="inlineStr">
        <x:is>
          <x:t xml:space="preserve">DCS-09</x:t>
        </x:is>
      </x:c>
      <x:c r="D36" s="4" t="inlineStr">
        <x:is>
          <x:t xml:space="preserve">Physical access to information assets and functions by users and support personnel shall be restricted.</x:t>
        </x:is>
      </x:c>
      <x:c r="E36" t="inlineStr">
        <x:is>
          <x:t xml:space="preserve">DCS</x:t>
        </x:is>
      </x:c>
      <x:c r="H36" t="inlineStr">
        <x:is>
          <x:t xml:space="preserve">NotStarted</x:t>
        </x:is>
      </x:c>
      <x:c r="M36" s="4" t="inlineStr">
        <x:is>
          <x:t xml:space="preserve"/>
        </x:is>
      </x:c>
    </x:row>
    <x:row r="37">
      <x:c r="A37" s="4" t="inlineStr">
        <x:is>
          <x:t xml:space="preserve">Encryption &amp; Key Management</x:t>
        </x:is>
      </x:c>
      <x:c r="B37" s="4" t="inlineStr">
        <x:is>
          <x:t xml:space="preserve">Entitlement</x:t>
        </x:is>
      </x:c>
      <x:c r="C37" t="inlineStr">
        <x:is>
          <x:t xml:space="preserve">EKM-01</x:t>
        </x:is>
      </x:c>
      <x:c r="D37" s="4" t="inlineStr">
        <x:is>
          <x:t xml:space="preserve">Keys must have identifiable owners (binding keys to identities) and there shall be key management policies.</x:t>
        </x:is>
      </x:c>
      <x:c r="E37" t="inlineStr">
        <x:is>
          <x:t xml:space="preserve">EKM</x:t>
        </x:is>
      </x:c>
      <x:c r="H37" t="inlineStr">
        <x:is>
          <x:t xml:space="preserve">NotStarted</x:t>
        </x:is>
      </x:c>
      <x:c r="M37" s="4" t="inlineStr">
        <x:is>
          <x:t xml:space="preserve"/>
        </x:is>
      </x:c>
    </x:row>
    <x:row r="38">
      <x:c r="A38" s="4" t="inlineStr">
        <x:is>
          <x:t xml:space="preserve">Encryption &amp; Key Management</x:t>
        </x:is>
      </x:c>
      <x:c r="B38" s="4" t="inlineStr">
        <x:is>
          <x:t xml:space="preserve">Key Generation</x:t>
        </x:is>
      </x:c>
      <x:c r="C38" t="inlineStr">
        <x:is>
          <x:t xml:space="preserve">EKM-02</x:t>
        </x:is>
      </x:c>
      <x:c r="D38" s="4" t="inlineStr">
        <x:is>
          <x:t xml:space="preserve">Policies and procedures shall be established for the management of cryptographic keys in the service's cryptosystem (e.g., lifecycle management from key generation to revocation and replacement, public key infrastructure, cryptographic protocol design and algorithms used, access controls in place for secure key generation, and exchange and storage including segregation of keys used for encrypted data or sessions). Upon request, provider shall inform the customer (tenant) of changes within the cryptosystem, especially if the customer (tenant) data is used as part of the service, and/or the customer (tenant) has some shared responsibility over implementation of the control.</x:t>
        </x:is>
      </x:c>
      <x:c r="E38" t="inlineStr">
        <x:is>
          <x:t xml:space="preserve">EKM</x:t>
        </x:is>
      </x:c>
      <x:c r="H38" t="inlineStr">
        <x:is>
          <x:t xml:space="preserve">NotStarted</x:t>
        </x:is>
      </x:c>
      <x:c r="M38" s="4" t="inlineStr">
        <x:is>
          <x:t xml:space="preserve"/>
        </x:is>
      </x:c>
    </x:row>
    <x:row r="39">
      <x:c r="A39" s="4" t="inlineStr">
        <x:is>
          <x:t xml:space="preserve">Encryption &amp; Key Management</x:t>
        </x:is>
      </x:c>
      <x:c r="B39" s="4" t="inlineStr">
        <x:is>
          <x:t xml:space="preserve">Sensitive Data Protection</x:t>
        </x:is>
      </x:c>
      <x:c r="C39" t="inlineStr">
        <x:is>
          <x:t xml:space="preserve">EKM-03</x:t>
        </x:is>
      </x:c>
      <x:c r="D39" s="4" t="inlineStr">
        <x:is>
          <x:t xml:space="preserve">Policies and procedures shall be established, and supporting business processes and technical measures implemented, for the use of encryption protocols for protection of sensitive data in storage (e.g., file servers, databases, and end-user workstations), data in use (memory), and data in transmission (e.g., system interfaces, over public networks, and electronic messaging) as per applicable legal, statutory, and regulatory compliance obligations.</x:t>
        </x:is>
      </x:c>
      <x:c r="E39" t="inlineStr">
        <x:is>
          <x:t xml:space="preserve">EKM</x:t>
        </x:is>
      </x:c>
      <x:c r="H39" t="inlineStr">
        <x:is>
          <x:t xml:space="preserve">NotStarted</x:t>
        </x:is>
      </x:c>
      <x:c r="M39" s="4" t="inlineStr">
        <x:is>
          <x:t xml:space="preserve"/>
        </x:is>
      </x:c>
    </x:row>
    <x:row r="40">
      <x:c r="A40" s="4" t="inlineStr">
        <x:is>
          <x:t xml:space="preserve">Encryption &amp; Key Management</x:t>
        </x:is>
      </x:c>
      <x:c r="B40" s="4" t="inlineStr">
        <x:is>
          <x:t xml:space="preserve">Storage and Access</x:t>
        </x:is>
      </x:c>
      <x:c r="C40" t="inlineStr">
        <x:is>
          <x:t xml:space="preserve">EKM-04</x:t>
        </x:is>
      </x:c>
      <x:c r="D40" s="4" t="inlineStr">
        <x:is>
          <x:t xml:space="preserve">Platform and data-appropriate encryption (e.g., AES-256) in open/validated formats and standard algorithms shall be required. Keys shall not be stored in the cloud (i.e., at the cloud provider in question), but maintained by the cloud consumer or trusted key management provider. Key management and key usage shall be separated duties.</x:t>
        </x:is>
      </x:c>
      <x:c r="E40" t="inlineStr">
        <x:is>
          <x:t xml:space="preserve">EKM</x:t>
        </x:is>
      </x:c>
      <x:c r="H40" t="inlineStr">
        <x:is>
          <x:t xml:space="preserve">NotStarted</x:t>
        </x:is>
      </x:c>
      <x:c r="M40" s="4" t="inlineStr">
        <x:is>
          <x:t xml:space="preserve"/>
        </x:is>
      </x:c>
    </x:row>
    <x:row r="41">
      <x:c r="A41" s="4" t="inlineStr">
        <x:is>
          <x:t xml:space="preserve">Governance and Risk Management</x:t>
        </x:is>
      </x:c>
      <x:c r="B41" s="4" t="inlineStr">
        <x:is>
          <x:t xml:space="preserve">Baseline Requirements</x:t>
        </x:is>
      </x:c>
      <x:c r="C41" t="inlineStr">
        <x:is>
          <x:t xml:space="preserve">GRM-01</x:t>
        </x:is>
      </x:c>
      <x:c r="D41" s="4" t="inlineStr">
        <x:is>
          <x:t xml:space="preserve">Baseline security requirements shall be established for developed or acquired, organizationally-owned or managed, physical or virtual, applications and infrastructure system and network components that comply with applicable legal, statutory, and regulatory compliance obligations. Deviations from standard baseline configurations must be authorized following change management policies and procedures prior to deployment, provisioning, or use. Compliance with security baseline requirements must be reassessed at least annually unless an alternate frequency has been established and authorized based on business need.</x:t>
        </x:is>
      </x:c>
      <x:c r="E41" t="inlineStr">
        <x:is>
          <x:t xml:space="preserve">GRM</x:t>
        </x:is>
      </x:c>
      <x:c r="F41" t="inlineStr">
        <x:is>
          <x:t xml:space="preserve">Annual</x:t>
        </x:is>
      </x:c>
      <x:c r="H41" t="inlineStr">
        <x:is>
          <x:t xml:space="preserve">NotStarted</x:t>
        </x:is>
      </x:c>
      <x:c r="M41" s="4" t="inlineStr">
        <x:is>
          <x:t xml:space="preserve"/>
        </x:is>
      </x:c>
    </x:row>
    <x:row r="42">
      <x:c r="A42" s="4" t="inlineStr">
        <x:is>
          <x:t xml:space="preserve">Governance and Risk Management</x:t>
        </x:is>
      </x:c>
      <x:c r="B42" s="4" t="inlineStr">
        <x:is>
          <x:t xml:space="preserve">Data Focus Risk Assessments</x:t>
        </x:is>
      </x:c>
      <x:c r="C42" t="inlineStr">
        <x:is>
          <x:t xml:space="preserve">GRM-02</x:t>
        </x:is>
      </x:c>
      <x:c r="D42" s="4" t="inlineStr">
        <x:is>
          <x:t xml:space="preserve">Risk assessments associated with data governance requirements shall be conducted at planned intervals and shall consider the following:
• Awareness of where sensitive data is stored and transmitted across applications, databases, servers, and network infrastructure
• Compliance with defined retention periods and end-of-life disposal requirements
• Data classification and protection from unauthorized use, access, loss, destruction, and falsification</x:t>
        </x:is>
      </x:c>
      <x:c r="E42" t="inlineStr">
        <x:is>
          <x:t xml:space="preserve">GRM</x:t>
        </x:is>
      </x:c>
      <x:c r="F42" t="inlineStr">
        <x:is>
          <x:t xml:space="preserve">Planned intervals</x:t>
        </x:is>
      </x:c>
      <x:c r="H42" t="inlineStr">
        <x:is>
          <x:t xml:space="preserve">NotStarted</x:t>
        </x:is>
      </x:c>
      <x:c r="M42" s="4" t="inlineStr">
        <x:is>
          <x:t xml:space="preserve"/>
        </x:is>
      </x:c>
    </x:row>
    <x:row r="43">
      <x:c r="A43" s="4" t="inlineStr">
        <x:is>
          <x:t xml:space="preserve">Governance and Risk Management</x:t>
        </x:is>
      </x:c>
      <x:c r="B43" s="4" t="inlineStr">
        <x:is>
          <x:t xml:space="preserve">Management Oversight</x:t>
        </x:is>
      </x:c>
      <x:c r="C43" t="inlineStr">
        <x:is>
          <x:t xml:space="preserve">GRM-03</x:t>
        </x:is>
      </x:c>
      <x:c r="D43" s="4" t="inlineStr">
        <x:is>
          <x:t xml:space="preserve">Managers are responsible for maintaining awareness of, and complying with, security policies, procedures, and standards that are relevant to their area of responsibility.</x:t>
        </x:is>
      </x:c>
      <x:c r="E43" t="inlineStr">
        <x:is>
          <x:t xml:space="preserve">GRM</x:t>
        </x:is>
      </x:c>
      <x:c r="H43" t="inlineStr">
        <x:is>
          <x:t xml:space="preserve">NotStarted</x:t>
        </x:is>
      </x:c>
      <x:c r="M43" s="4" t="inlineStr">
        <x:is>
          <x:t xml:space="preserve"/>
        </x:is>
      </x:c>
    </x:row>
    <x:row r="44">
      <x:c r="A44" s="4" t="inlineStr">
        <x:is>
          <x:t xml:space="preserve">Governance and Risk Management</x:t>
        </x:is>
      </x:c>
      <x:c r="B44" s="4" t="inlineStr">
        <x:is>
          <x:t xml:space="preserve">Management Program</x:t>
        </x:is>
      </x:c>
      <x:c r="C44" t="inlineStr">
        <x:is>
          <x:t xml:space="preserve">GRM-04</x:t>
        </x:is>
      </x:c>
      <x:c r="D44" s="4" t="inlineStr">
        <x:is>
          <x:t xml:space="preserve">An Information Security Management Program (ISMP) shall be developed, documented, approved, and implemented that includes administrative, technical, and physical safeguards to protect assets and data from loss, misuse, unauthorized access, disclosure, alteration, and destruction. The security program shall include, but not be limited to, the following areas insofar as they relate to the characteristics of the business:
• Risk management
• Security policy
• Organization of information security
• Asset management
• Human resources security
• Physical and environmental security
• Communications and operations management
• Access control
• Information systems acquisition, development, and maintenance</x:t>
        </x:is>
      </x:c>
      <x:c r="E44" t="inlineStr">
        <x:is>
          <x:t xml:space="preserve">GRM</x:t>
        </x:is>
      </x:c>
      <x:c r="H44" t="inlineStr">
        <x:is>
          <x:t xml:space="preserve">NotStarted</x:t>
        </x:is>
      </x:c>
      <x:c r="M44" s="4" t="inlineStr">
        <x:is>
          <x:t xml:space="preserve"/>
        </x:is>
      </x:c>
    </x:row>
    <x:row r="45">
      <x:c r="A45" s="4" t="inlineStr">
        <x:is>
          <x:t xml:space="preserve">Governance and Risk Management</x:t>
        </x:is>
      </x:c>
      <x:c r="B45" s="4" t="inlineStr">
        <x:is>
          <x:t xml:space="preserve">Management Support/Involvement</x:t>
        </x:is>
      </x:c>
      <x:c r="C45" t="inlineStr">
        <x:is>
          <x:t xml:space="preserve">GRM-05</x:t>
        </x:is>
      </x:c>
      <x:c r="D45" s="4" t="inlineStr">
        <x:is>
          <x:t xml:space="preserve">Executive and line management shall take formal action to support information security through clearly-documented direction and commitment, and shall ensure the action has been assigned.</x:t>
        </x:is>
      </x:c>
      <x:c r="E45" t="inlineStr">
        <x:is>
          <x:t xml:space="preserve">GRM</x:t>
        </x:is>
      </x:c>
      <x:c r="H45" t="inlineStr">
        <x:is>
          <x:t xml:space="preserve">NotStarted</x:t>
        </x:is>
      </x:c>
      <x:c r="M45" s="4" t="inlineStr">
        <x:is>
          <x:t xml:space="preserve"/>
        </x:is>
      </x:c>
    </x:row>
    <x:row r="46">
      <x:c r="A46" s="4" t="inlineStr">
        <x:is>
          <x:t xml:space="preserve">Governance and Risk Management</x:t>
        </x:is>
      </x:c>
      <x:c r="B46" s="4" t="inlineStr">
        <x:is>
          <x:t xml:space="preserve">Policy</x:t>
        </x:is>
      </x:c>
      <x:c r="C46" t="inlineStr">
        <x:is>
          <x:t xml:space="preserve">GRM-06</x:t>
        </x:is>
      </x:c>
      <x:c r="D46" s="4" t="inlineStr">
        <x:is>
          <x:t xml:space="preserve">Information security policies and procedures shall be established and made readily available for review by all impacted personnel and external business relationships. Information security policies must be authorized by the organization's business leadership (or other accountable business role or function) and supported by a strategic business plan and an information security management program inclusive of defined information security roles and responsibilities for business leadership.</x:t>
        </x:is>
      </x:c>
      <x:c r="E46" t="inlineStr">
        <x:is>
          <x:t xml:space="preserve">GRM</x:t>
        </x:is>
      </x:c>
      <x:c r="H46" t="inlineStr">
        <x:is>
          <x:t xml:space="preserve">NotStarted</x:t>
        </x:is>
      </x:c>
      <x:c r="M46" s="4" t="inlineStr">
        <x:is>
          <x:t xml:space="preserve"/>
        </x:is>
      </x:c>
    </x:row>
    <x:row r="47">
      <x:c r="A47" s="4" t="inlineStr">
        <x:is>
          <x:t xml:space="preserve">Governance and Risk Management</x:t>
        </x:is>
      </x:c>
      <x:c r="B47" s="4" t="inlineStr">
        <x:is>
          <x:t xml:space="preserve">Policy Enforcement</x:t>
        </x:is>
      </x:c>
      <x:c r="C47" t="inlineStr">
        <x:is>
          <x:t xml:space="preserve">GRM-07</x:t>
        </x:is>
      </x:c>
      <x:c r="D47" s="4" t="inlineStr">
        <x:is>
          <x:t xml:space="preserve">A formal disciplinary or sanction policy shall be established for employees who have violated security policies and procedures. Employees shall be made aware of what action might be taken in the event of a violation, and disciplinary measures must be stated in the policies and procedures.</x:t>
        </x:is>
      </x:c>
      <x:c r="E47" t="inlineStr">
        <x:is>
          <x:t xml:space="preserve">GRM</x:t>
        </x:is>
      </x:c>
      <x:c r="H47" t="inlineStr">
        <x:is>
          <x:t xml:space="preserve">NotStarted</x:t>
        </x:is>
      </x:c>
      <x:c r="M47" s="4" t="inlineStr">
        <x:is>
          <x:t xml:space="preserve"/>
        </x:is>
      </x:c>
    </x:row>
    <x:row r="48">
      <x:c r="A48" s="4" t="inlineStr">
        <x:is>
          <x:t xml:space="preserve">Governance and Risk Management</x:t>
        </x:is>
      </x:c>
      <x:c r="B48" s="4" t="inlineStr">
        <x:is>
          <x:t xml:space="preserve">Policy Impact on Risk Assessments</x:t>
        </x:is>
      </x:c>
      <x:c r="C48" t="inlineStr">
        <x:is>
          <x:t xml:space="preserve">GRM-08</x:t>
        </x:is>
      </x:c>
      <x:c r="D48" s="4" t="inlineStr">
        <x:is>
          <x:t xml:space="preserve">Risk assessment results shall include updates to security policies, procedures, standards, and controls to ensure that they remain relevant and effective.</x:t>
        </x:is>
      </x:c>
      <x:c r="E48" t="inlineStr">
        <x:is>
          <x:t xml:space="preserve">GRM</x:t>
        </x:is>
      </x:c>
      <x:c r="H48" t="inlineStr">
        <x:is>
          <x:t xml:space="preserve">NotStarted</x:t>
        </x:is>
      </x:c>
      <x:c r="M48" s="4" t="inlineStr">
        <x:is>
          <x:t xml:space="preserve"/>
        </x:is>
      </x:c>
    </x:row>
    <x:row r="49">
      <x:c r="A49" s="4" t="inlineStr">
        <x:is>
          <x:t xml:space="preserve">Governance and Risk Management</x:t>
        </x:is>
      </x:c>
      <x:c r="B49" s="4" t="inlineStr">
        <x:is>
          <x:t xml:space="preserve">Policy Reviews</x:t>
        </x:is>
      </x:c>
      <x:c r="C49" t="inlineStr">
        <x:is>
          <x:t xml:space="preserve">GRM-09</x:t>
        </x:is>
      </x:c>
      <x:c r="D49" s="4" t="inlineStr">
        <x:is>
          <x:t xml:space="preserve">The organization's business leadership (or other accountable business role or function) shall review the information security policy at planned intervals or as a result of changes to the organization to ensure its continuing alignment with the security strategy, effectiveness, accuracy, relevance, and applicability to legal, statutory, or regulatory compliance obligations.</x:t>
        </x:is>
      </x:c>
      <x:c r="E49" t="inlineStr">
        <x:is>
          <x:t xml:space="preserve">GRM</x:t>
        </x:is>
      </x:c>
      <x:c r="F49" t="inlineStr">
        <x:is>
          <x:t xml:space="preserve">Planned intervals</x:t>
        </x:is>
      </x:c>
      <x:c r="H49" t="inlineStr">
        <x:is>
          <x:t xml:space="preserve">NotStarted</x:t>
        </x:is>
      </x:c>
      <x:c r="M49" s="4" t="inlineStr">
        <x:is>
          <x:t xml:space="preserve"/>
        </x:is>
      </x:c>
    </x:row>
    <x:row r="50">
      <x:c r="A50" s="4" t="inlineStr">
        <x:is>
          <x:t xml:space="preserve">Governance and Risk Management</x:t>
        </x:is>
      </x:c>
      <x:c r="B50" s="4" t="inlineStr">
        <x:is>
          <x:t xml:space="preserve">Risk Assessments</x:t>
        </x:is>
      </x:c>
      <x:c r="C50" t="inlineStr">
        <x:is>
          <x:t xml:space="preserve">GRM-10</x:t>
        </x:is>
      </x:c>
      <x:c r="D50" s="4" t="inlineStr">
        <x:is>
          <x:t xml:space="preserve">Aligned with the enterprise-wide framework, formal risk assessments shall be performed at least annually or at planned intervals, (and in conjunction with any changes to information systems) to determine the likelihood and impact of all identified risks using qualitative and quantitative methods. The likelihood and impact associated with inherent and residual risk shall be determined independently, considering all risk categories (e.g., audit results, threat and vulnerability analysis, and regulatory compliance).</x:t>
        </x:is>
      </x:c>
      <x:c r="E50" t="inlineStr">
        <x:is>
          <x:t xml:space="preserve">GRM</x:t>
        </x:is>
      </x:c>
      <x:c r="F50" t="inlineStr">
        <x:is>
          <x:t xml:space="preserve">Annual</x:t>
        </x:is>
      </x:c>
      <x:c r="H50" t="inlineStr">
        <x:is>
          <x:t xml:space="preserve">NotStarted</x:t>
        </x:is>
      </x:c>
      <x:c r="M50" s="4" t="inlineStr">
        <x:is>
          <x:t xml:space="preserve"/>
        </x:is>
      </x:c>
    </x:row>
    <x:row r="51">
      <x:c r="A51" s="4" t="inlineStr">
        <x:is>
          <x:t xml:space="preserve">Governance and Risk Management</x:t>
        </x:is>
      </x:c>
      <x:c r="B51" s="4" t="inlineStr">
        <x:is>
          <x:t xml:space="preserve">Risk Management Framework</x:t>
        </x:is>
      </x:c>
      <x:c r="C51" t="inlineStr">
        <x:is>
          <x:t xml:space="preserve">GRM-11</x:t>
        </x:is>
      </x:c>
      <x:c r="D51" s="4" t="inlineStr">
        <x:is>
          <x:t xml:space="preserve">Risks shall be mitigated to an acceptable level. Acceptance levels based on risk criteria shall be established and documented in accordance with reasonable resolution time frames and stakeholder approval.</x:t>
        </x:is>
      </x:c>
      <x:c r="E51" t="inlineStr">
        <x:is>
          <x:t xml:space="preserve">GRM</x:t>
        </x:is>
      </x:c>
      <x:c r="H51" t="inlineStr">
        <x:is>
          <x:t xml:space="preserve">NotStarted</x:t>
        </x:is>
      </x:c>
      <x:c r="M51" s="4" t="inlineStr">
        <x:is>
          <x:t xml:space="preserve"/>
        </x:is>
      </x:c>
    </x:row>
    <x:row r="52">
      <x:c r="A52" s="4" t="inlineStr">
        <x:is>
          <x:t xml:space="preserve">Human Resources</x:t>
        </x:is>
      </x:c>
      <x:c r="B52" s="4" t="inlineStr">
        <x:is>
          <x:t xml:space="preserve">Asset Returns</x:t>
        </x:is>
      </x:c>
      <x:c r="C52" t="inlineStr">
        <x:is>
          <x:t xml:space="preserve">HRS-01</x:t>
        </x:is>
      </x:c>
      <x:c r="D52" s="4" t="inlineStr">
        <x:is>
          <x:t xml:space="preserve">Upon termination of workforce personnel and/or expiration of external business relationships, all organizationally-owned assets shall be returned within an established period.</x:t>
        </x:is>
      </x:c>
      <x:c r="E52" t="inlineStr">
        <x:is>
          <x:t xml:space="preserve">HRS</x:t>
        </x:is>
      </x:c>
      <x:c r="H52" t="inlineStr">
        <x:is>
          <x:t xml:space="preserve">NotStarted</x:t>
        </x:is>
      </x:c>
      <x:c r="M52" s="4" t="inlineStr">
        <x:is>
          <x:t xml:space="preserve"/>
        </x:is>
      </x:c>
    </x:row>
    <x:row r="53">
      <x:c r="A53" s="4" t="inlineStr">
        <x:is>
          <x:t xml:space="preserve">Human Resources</x:t>
        </x:is>
      </x:c>
      <x:c r="B53" s="4" t="inlineStr">
        <x:is>
          <x:t xml:space="preserve">Mobile Device Management</x:t>
        </x:is>
      </x:c>
      <x:c r="C53" t="inlineStr">
        <x:is>
          <x:t xml:space="preserve">HRS-05</x:t>
        </x:is>
      </x:c>
      <x:c r="D53" s="4" t="inlineStr">
        <x:is>
          <x:t xml:space="preserve">Policies and procedures shall be established, and supporting business processes and technical measures implemented, to manage business risks associated with permitting mobile device access to corporate resources and may require the implementation of higher assurance compensating controls and acceptable-use policies and procedures (e.g., mandated security training, stronger identity, entitlement and access controls, and device monitoring).</x:t>
        </x:is>
      </x:c>
      <x:c r="E53" t="inlineStr">
        <x:is>
          <x:t xml:space="preserve">HRS</x:t>
        </x:is>
      </x:c>
      <x:c r="H53" t="inlineStr">
        <x:is>
          <x:t xml:space="preserve">NotStarted</x:t>
        </x:is>
      </x:c>
      <x:c r="M53" s="4" t="inlineStr">
        <x:is>
          <x:t xml:space="preserve"/>
        </x:is>
      </x:c>
    </x:row>
    <x:row r="54">
      <x:c r="A54" s="4" t="inlineStr">
        <x:is>
          <x:t xml:space="preserve">Human Resources</x:t>
        </x:is>
      </x:c>
      <x:c r="B54" s="4" t="inlineStr">
        <x:is>
          <x:t xml:space="preserve">Technology Acceptable Use</x:t>
        </x:is>
      </x:c>
      <x:c r="C54" t="inlineStr">
        <x:is>
          <x:t xml:space="preserve">HRS-08</x:t>
        </x:is>
      </x:c>
      <x:c r="D54" s="4" t="inlineStr">
        <x:is>
          <x:t xml:space="preserve">Policies and procedures shall be established, and supporting business processes and technical measures implemented, for defining allowances and conditions for permitting usage of organizationally-owned or managed user endpoint devices (e.g., issued workstations, laptops, and mobile devices) and IT infrastructure network and systems components. Additionally, defining allowances and conditions to permit usage of personal mobile devices and associated applications with access to corporate resources (i.e., BYOD) shall be considered and incorporated as appropriate.</x:t>
        </x:is>
      </x:c>
      <x:c r="E54" t="inlineStr">
        <x:is>
          <x:t xml:space="preserve">HRS</x:t>
        </x:is>
      </x:c>
      <x:c r="H54" t="inlineStr">
        <x:is>
          <x:t xml:space="preserve">NotStarted</x:t>
        </x:is>
      </x:c>
      <x:c r="M54" s="4" t="inlineStr">
        <x:is>
          <x:t xml:space="preserve"/>
        </x:is>
      </x:c>
    </x:row>
    <x:row r="55">
      <x:c r="A55" s="4" t="inlineStr">
        <x:is>
          <x:t xml:space="preserve">Human Resources</x:t>
        </x:is>
      </x:c>
      <x:c r="B55" s="4" t="inlineStr">
        <x:is>
          <x:t xml:space="preserve">Training / Awareness</x:t>
        </x:is>
      </x:c>
      <x:c r="C55" t="inlineStr">
        <x:is>
          <x:t xml:space="preserve">HRS-09</x:t>
        </x:is>
      </x:c>
      <x:c r="D55" s="4" t="inlineStr">
        <x:is>
          <x:t xml:space="preserve">A security awareness training program shall be established for all contractors, third-party users, and employees of the organization and mandated when appropriate. All individuals with access to organizational data shall receive appropriate awareness training and regular updates in organizational procedures, processes, and policies relating to their professional function relative to the organization.</x:t>
        </x:is>
      </x:c>
      <x:c r="E55" t="inlineStr">
        <x:is>
          <x:t xml:space="preserve">HRS</x:t>
        </x:is>
      </x:c>
      <x:c r="H55" t="inlineStr">
        <x:is>
          <x:t xml:space="preserve">NotStarted</x:t>
        </x:is>
      </x:c>
      <x:c r="M55" s="4" t="inlineStr">
        <x:is>
          <x:t xml:space="preserve"/>
        </x:is>
      </x:c>
    </x:row>
    <x:row r="56">
      <x:c r="A56" s="4" t="inlineStr">
        <x:is>
          <x:t xml:space="preserve">Human Resources</x:t>
        </x:is>
      </x:c>
      <x:c r="B56" s="4" t="inlineStr">
        <x:is>
          <x:t xml:space="preserve">User Responsibility</x:t>
        </x:is>
      </x:c>
      <x:c r="C56" t="inlineStr">
        <x:is>
          <x:t xml:space="preserve">HRS-10</x:t>
        </x:is>
      </x:c>
      <x:c r="D56" s="4" t="inlineStr">
        <x:is>
          <x:t xml:space="preserve">All personnel shall be made aware of their roles and responsibilities for:
• Maintaining awareness and compliance with established policies and procedures and applicable legal, statutory, or regulatory compliance obligations.
• Maintaining a safe and secure working environment</x:t>
        </x:is>
      </x:c>
      <x:c r="E56" t="inlineStr">
        <x:is>
          <x:t xml:space="preserve">HRS</x:t>
        </x:is>
      </x:c>
      <x:c r="H56" t="inlineStr">
        <x:is>
          <x:t xml:space="preserve">NotStarted</x:t>
        </x:is>
      </x:c>
      <x:c r="M56" s="4" t="inlineStr">
        <x:is>
          <x:t xml:space="preserve"/>
        </x:is>
      </x:c>
    </x:row>
    <x:row r="57">
      <x:c r="A57" s="4" t="inlineStr">
        <x:is>
          <x:t xml:space="preserve">Human Resources</x:t>
        </x:is>
      </x:c>
      <x:c r="B57" s="4" t="inlineStr">
        <x:is>
          <x:t xml:space="preserve">Workspace</x:t>
        </x:is>
      </x:c>
      <x:c r="C57" t="inlineStr">
        <x:is>
          <x:t xml:space="preserve">HRS-11</x:t>
        </x:is>
      </x:c>
      <x:c r="D57" s="4" t="inlineStr">
        <x:is>
          <x:t xml:space="preserve">Policies and procedures shall be established to require that unattended workspaces do not have openly visible (e.g., on a desktop) sensitive documents and user computing sessions are disabled after an established period of inactivity.</x:t>
        </x:is>
      </x:c>
      <x:c r="E57" t="inlineStr">
        <x:is>
          <x:t xml:space="preserve">HRS</x:t>
        </x:is>
      </x:c>
      <x:c r="H57" t="inlineStr">
        <x:is>
          <x:t xml:space="preserve">NotStarted</x:t>
        </x:is>
      </x:c>
      <x:c r="M57" s="4" t="inlineStr">
        <x:is>
          <x:t xml:space="preserve"/>
        </x:is>
      </x:c>
    </x:row>
    <x:row r="58">
      <x:c r="A58" s="4" t="inlineStr">
        <x:is>
          <x:t xml:space="preserve">Identity &amp; Access Management</x:t>
        </x:is>
      </x:c>
      <x:c r="B58" s="4" t="inlineStr">
        <x:is>
          <x:t xml:space="preserve">Audit Tools Access</x:t>
        </x:is>
      </x:c>
      <x:c r="C58" t="inlineStr">
        <x:is>
          <x:t xml:space="preserve">IAM-01</x:t>
        </x:is>
      </x:c>
      <x:c r="D58" s="4" t="inlineStr">
        <x:is>
          <x:t xml:space="preserve">Access to, and use of, audit tools that interact with the organization's information systems shall be appropriately segregated and access restricted to prevent inappropriate disclosure and tampering of log data.</x:t>
        </x:is>
      </x:c>
      <x:c r="E58" t="inlineStr">
        <x:is>
          <x:t xml:space="preserve">IAM</x:t>
        </x:is>
      </x:c>
      <x:c r="H58" t="inlineStr">
        <x:is>
          <x:t xml:space="preserve">NotStarted</x:t>
        </x:is>
      </x:c>
      <x:c r="M58" s="4" t="inlineStr">
        <x:is>
          <x:t xml:space="preserve"/>
        </x:is>
      </x:c>
    </x:row>
    <x:row r="59">
      <x:c r="A59" s="4" t="inlineStr">
        <x:is>
          <x:t xml:space="preserve">Identity &amp; Access Management</x:t>
        </x:is>
      </x:c>
      <x:c r="B59" s="4" t="inlineStr">
        <x:is>
          <x:t xml:space="preserve">Credential Lifecycle / Provision Management</x:t>
        </x:is>
      </x:c>
      <x:c r="C59" t="inlineStr">
        <x:is>
          <x:t xml:space="preserve">IAM-02</x:t>
        </x:is>
      </x:c>
      <x:c r="D59" s="4" t="inlineStr">
        <x:is>
          <x:t xml:space="preserve">User access policies and procedures shall be established, and supporting business processes and technical measures implemented, for ensuring appropriate identity, entitlement, and access management for all internal corporate and customer (tenant) users with access to data and organizationally-owned or managed (physical and virtual) application interfaces and infrastructure network and systems components. These policies, procedures, processes, and measures must incorporate the following:
• Procedures and supporting roles and responsibilities for provisioning and de-provisioning user account entitlements following the rule of least privilege based on job function (e.g., internal employee and contingent staff personnel changes, customer-controlled access, suppliers' business relationships, or other third-party business relationships)
• Business case considerations for higher levels of assurance and multi-factor authentication secrets (e.g., management interfaces, key generation, remote access, segregation of duties, emergency access, large-scale provisioning or geographically-distributed deployments, and personnel redundancy for critical systems)
• Access segmentation to sessions and data in multi-tenant architectures by any third party (e.g., provider and/or other customer (tenant))
• Identity trust verification and service-to-service application (API) and information processing interoperability (e.g., SSO and federation)
• Account credential lifecycle management from instantiation through revocation
• Account credential and/or identity store minimization or re-use when feasible
• Authentication, authorization, and accounting (AAA) rules for access to data and sessions (e.g., encryption and strong/multi-factor, expireable, non-shared authentication secrets)
• Permissions and supporting capabilities for customer (tenant) controls over authentication, authorization, and accounting (AAA) rules for access to data and sessions
• Adherence to applicable legal, statutory, or regulatory compliance requirements</x:t>
        </x:is>
      </x:c>
      <x:c r="E59" t="inlineStr">
        <x:is>
          <x:t xml:space="preserve">IAM</x:t>
        </x:is>
      </x:c>
      <x:c r="H59" t="inlineStr">
        <x:is>
          <x:t xml:space="preserve">NotStarted</x:t>
        </x:is>
      </x:c>
      <x:c r="M59" s="4" t="inlineStr">
        <x:is>
          <x:t xml:space="preserve"/>
        </x:is>
      </x:c>
    </x:row>
    <x:row r="60">
      <x:c r="A60" s="4" t="inlineStr">
        <x:is>
          <x:t xml:space="preserve">Supply Chain Management, Transparency and Accountability</x:t>
        </x:is>
      </x:c>
      <x:c r="B60" s="4" t="inlineStr">
        <x:is>
          <x:t xml:space="preserve">Supply Chain Agreements</x:t>
        </x:is>
      </x:c>
      <x:c r="C60" t="inlineStr">
        <x:is>
          <x:t xml:space="preserve">STA-05</x:t>
        </x:is>
      </x:c>
      <x:c r="D60" s="4" t="inlineStr">
        <x:is>
          <x:t xml:space="preserve">Supply chain agreements (e.g., SLAs) between providers and customers (tenants) shall incorporate at least the following mutually-agreed upon provisions and/or terms:
• Scope of business relationship and services offered (e.g., customer (tenant) data acquisition, exchange and usage, feature sets and functionality, personnel and infrastructure network and systems components for service delivery and support, roles and responsibilities of provider and customer (tenant) and any subcontractor or outsourced business relationships, physical geographical location of hosted services, and any known regulatory compliance considerations)
• Information security requirements, provider and customer (tenant) primary points of contact for the duration of the business relationship, and references to detailed supporting and relevant business processes and technical measures implemented to enable effectively governance, risk management, assurance and legal, statutory and regulatory compliance obligations by all impacted business relationships
• Notification and/or pre-authorization of any changes controlled by the provider with customer (tenant) impacts
• Timely notification of a security incident (or confirmed breach) to all customers (tenants) and other business relationships impacted (i.e., up- and down-stream impacted supply chain)
• Assessment and independent verification of compliance with agreement provisions and/or terms (e.g., industry-acceptable certification, attestation audit report, or equivalent forms of assurance) without posing an unacceptable business risk of exposure to the organization being assessed
• Expiration of the business relationship and treatment of customer (tenant) data impacted
• Customer (tenant) service-to-service application (API) and data interoperability and portability requirements for application development and information exchange, usage, and integrity persistence</x:t>
        </x:is>
      </x:c>
      <x:c r="E60" t="inlineStr">
        <x:is>
          <x:t xml:space="preserve">STA</x:t>
        </x:is>
      </x:c>
      <x:c r="H60" t="inlineStr">
        <x:is>
          <x:t xml:space="preserve">NotStarted</x:t>
        </x:is>
      </x:c>
      <x:c r="M60" s="4" t="inlineStr">
        <x:is>
          <x:t xml:space="preserve"/>
        </x:is>
      </x:c>
    </x:row>
    <x:row r="61">
      <x:c r="A61" s="4" t="inlineStr">
        <x:is>
          <x:t xml:space="preserve">Supply Chain Management, Transparency and Accountability</x:t>
        </x:is>
      </x:c>
      <x:c r="B61" s="4" t="inlineStr">
        <x:is>
          <x:t xml:space="preserve">Network / Infrastructure Services</x:t>
        </x:is>
      </x:c>
      <x:c r="C61" t="inlineStr">
        <x:is>
          <x:t xml:space="preserve">STA-03</x:t>
        </x:is>
      </x:c>
      <x:c r="D61" s="4" t="inlineStr">
        <x:is>
          <x:t xml:space="preserve">Business-critical or customer (tenant) impacting (physical and virtual) application and system-system interface (API) designs and configurations, and infrastructure network and systems components, shall be designed, developed, and deployed in accordance with mutually agreed-upon service and capacity-level expectations, as well as IT governance and service management policies and procedures.</x:t>
        </x:is>
      </x:c>
      <x:c r="E61" t="inlineStr">
        <x:is>
          <x:t xml:space="preserve">STA</x:t>
        </x:is>
      </x:c>
      <x:c r="H61" t="inlineStr">
        <x:is>
          <x:t xml:space="preserve">NotStarted</x:t>
        </x:is>
      </x:c>
      <x:c r="M61" s="4" t="inlineStr">
        <x:is>
          <x:t xml:space="preserve"/>
        </x:is>
      </x:c>
    </x:row>
  </x:sheetData>
  <x:pageMargins left="0.7" right="0.7" top="0.75" bottom="0.75" header="0.3" footer="0.3"/>
  <x:tableParts count="1">
    <x:tablePart xmlns:r="http://schemas.openxmlformats.org/officeDocument/2006/relationships" r:id="R6d56d6898f0e4cf7"/>
  </x:tableParts>
</x:worksheet>
</file>

<file path=xl/worksheets/sheet9.xml><?xml version="1.0" encoding="utf-8"?>
<x:worksheet xmlns:x="http://schemas.openxmlformats.org/spreadsheetml/2006/main">
  <x:sheetFormatPr defaultRowHeight="15"/>
  <x:sheetData>
    <x:row r="1">
      <x:c r="A1" t="inlineStr">
        <x:is>
          <x:t xml:space="preserve">StatusList</x:t>
        </x:is>
      </x:c>
      <x:c r="B1" t="inlineStr">
        <x:is>
          <x:t xml:space="preserve">PriorityList</x:t>
        </x:is>
      </x:c>
    </x:row>
    <x:row r="2">
      <x:c r="A2" t="inlineStr">
        <x:is>
          <x:t xml:space="preserve">NotStarted</x:t>
        </x:is>
      </x:c>
      <x:c r="B2" t="inlineStr">
        <x:is>
          <x:t xml:space="preserve">P0</x:t>
        </x:is>
      </x:c>
    </x:row>
    <x:row r="3">
      <x:c r="A3" t="inlineStr">
        <x:is>
          <x:t xml:space="preserve">InProgress</x:t>
        </x:is>
      </x:c>
      <x:c r="B3" t="inlineStr">
        <x:is>
          <x:t xml:space="preserve">P1</x:t>
        </x:is>
      </x:c>
    </x:row>
    <x:row r="4">
      <x:c r="A4" t="inlineStr">
        <x:is>
          <x:t xml:space="preserve">Blocked</x:t>
        </x:is>
      </x:c>
      <x:c r="B4" t="inlineStr">
        <x:is>
          <x:t xml:space="preserve">P2</x:t>
        </x:is>
      </x:c>
    </x:row>
    <x:row r="5">
      <x:c r="A5" t="inlineStr">
        <x:is>
          <x:t xml:space="preserve">Complete</x:t>
        </x:is>
      </x:c>
      <x:c r="B5" t="inlineStr">
        <x:is>
          <x:t xml:space="preserve">P3</x:t>
        </x:is>
      </x:c>
    </x:row>
    <x:row r="6">
      <x:c r="A6" t="inlineStr">
        <x:is>
          <x:t xml:space="preserve">NA</x:t>
        </x:is>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55" customWidth="1"/>
    <x:col min="2" max="2" width="12" customWidth="1"/>
    <x:col min="3" max="3" width="14" customWidth="1"/>
    <x:col min="4" max="4" width="14" customWidth="1"/>
    <x:col min="5" max="5" width="14" customWidth="1"/>
    <x:col min="6" max="6" width="14" customWidth="1"/>
    <x:col min="7" max="7" width="14" customWidth="1"/>
  </x:cols>
  <x:sheetData>
    <x:row r="1">
      <x:c r="A1" s="8" t="inlineStr">
        <x:is>
          <x:t xml:space="preserve">Domain</x:t>
        </x:is>
      </x:c>
      <x:c r="B1" s="8" t="inlineStr">
        <x:is>
          <x:t xml:space="preserve">Total</x:t>
        </x:is>
      </x:c>
      <x:c r="C1" s="8" t="inlineStr">
        <x:is>
          <x:t xml:space="preserve">NotStarted</x:t>
        </x:is>
      </x:c>
      <x:c r="D1" s="8" t="inlineStr">
        <x:is>
          <x:t xml:space="preserve">InProgress</x:t>
        </x:is>
      </x:c>
      <x:c r="E1" s="8" t="inlineStr">
        <x:is>
          <x:t xml:space="preserve">Blocked</x:t>
        </x:is>
      </x:c>
      <x:c r="F1" s="8" t="inlineStr">
        <x:is>
          <x:t xml:space="preserve">Complete</x:t>
        </x:is>
      </x:c>
      <x:c r="G1" s="8" t="inlineStr">
        <x:is>
          <x:t xml:space="preserve">NA</x:t>
        </x:is>
      </x:c>
    </x:row>
    <x:row r="2">
      <x:c r="A2" t="inlineStr">
        <x:is>
          <x:t xml:space="preserve">Audit Assurance &amp; Compliance</x:t>
        </x:is>
      </x:c>
      <x:c r="B2">
        <x:f>COUNTIF(tblComplianceControls[Domain],A2)</x:f>
        <x:v>0</x:v>
      </x:c>
      <x:c r="C2">
        <x:f>COUNTIFS(tblComplianceControls[Domain],A2,tblComplianceControls[Status],"NotStarted")</x:f>
        <x:v>0</x:v>
      </x:c>
      <x:c r="D2">
        <x:f>COUNTIFS(tblComplianceControls[Domain],A2,tblComplianceControls[Status],"InProgress")</x:f>
        <x:v>0</x:v>
      </x:c>
      <x:c r="E2">
        <x:f>COUNTIFS(tblComplianceControls[Domain],A2,tblComplianceControls[Status],"Blocked")</x:f>
        <x:v>0</x:v>
      </x:c>
      <x:c r="F2">
        <x:f>COUNTIFS(tblComplianceControls[Domain],A2,tblComplianceControls[Status],"Complete")</x:f>
        <x:v>0</x:v>
      </x:c>
      <x:c r="G2">
        <x:f>COUNTIFS(tblComplianceControls[Domain],A2,tblComplianceControls[Status],"NA")</x:f>
        <x:v>0</x:v>
      </x:c>
    </x:row>
    <x:row r="3">
      <x:c r="A3" t="inlineStr">
        <x:is>
          <x:t xml:space="preserve">Business Continuity Management &amp; Operational Resilience</x:t>
        </x:is>
      </x:c>
      <x:c r="B3">
        <x:f>COUNTIF(tblComplianceControls[Domain],A3)</x:f>
        <x:v>0</x:v>
      </x:c>
      <x:c r="C3">
        <x:f>COUNTIFS(tblComplianceControls[Domain],A3,tblComplianceControls[Status],"NotStarted")</x:f>
        <x:v>0</x:v>
      </x:c>
      <x:c r="D3">
        <x:f>COUNTIFS(tblComplianceControls[Domain],A3,tblComplianceControls[Status],"InProgress")</x:f>
        <x:v>0</x:v>
      </x:c>
      <x:c r="E3">
        <x:f>COUNTIFS(tblComplianceControls[Domain],A3,tblComplianceControls[Status],"Blocked")</x:f>
        <x:v>0</x:v>
      </x:c>
      <x:c r="F3">
        <x:f>COUNTIFS(tblComplianceControls[Domain],A3,tblComplianceControls[Status],"Complete")</x:f>
        <x:v>0</x:v>
      </x:c>
      <x:c r="G3">
        <x:f>COUNTIFS(tblComplianceControls[Domain],A3,tblComplianceControls[Status],"NA")</x:f>
        <x:v>0</x:v>
      </x:c>
    </x:row>
    <x:row r="4">
      <x:c r="A4" t="inlineStr">
        <x:is>
          <x:t xml:space="preserve">Change Control &amp; Configuration Management</x:t>
        </x:is>
      </x:c>
      <x:c r="B4">
        <x:f>COUNTIF(tblComplianceControls[Domain],A4)</x:f>
        <x:v>0</x:v>
      </x:c>
      <x:c r="C4">
        <x:f>COUNTIFS(tblComplianceControls[Domain],A4,tblComplianceControls[Status],"NotStarted")</x:f>
        <x:v>0</x:v>
      </x:c>
      <x:c r="D4">
        <x:f>COUNTIFS(tblComplianceControls[Domain],A4,tblComplianceControls[Status],"InProgress")</x:f>
        <x:v>0</x:v>
      </x:c>
      <x:c r="E4">
        <x:f>COUNTIFS(tblComplianceControls[Domain],A4,tblComplianceControls[Status],"Blocked")</x:f>
        <x:v>0</x:v>
      </x:c>
      <x:c r="F4">
        <x:f>COUNTIFS(tblComplianceControls[Domain],A4,tblComplianceControls[Status],"Complete")</x:f>
        <x:v>0</x:v>
      </x:c>
      <x:c r="G4">
        <x:f>COUNTIFS(tblComplianceControls[Domain],A4,tblComplianceControls[Status],"NA")</x:f>
        <x:v>0</x:v>
      </x:c>
    </x:row>
    <x:row r="5">
      <x:c r="A5" t="inlineStr">
        <x:is>
          <x:t xml:space="preserve">Data Security &amp; Information Lifecycle Management</x:t>
        </x:is>
      </x:c>
      <x:c r="B5">
        <x:f>COUNTIF(tblComplianceControls[Domain],A5)</x:f>
        <x:v>0</x:v>
      </x:c>
      <x:c r="C5">
        <x:f>COUNTIFS(tblComplianceControls[Domain],A5,tblComplianceControls[Status],"NotStarted")</x:f>
        <x:v>0</x:v>
      </x:c>
      <x:c r="D5">
        <x:f>COUNTIFS(tblComplianceControls[Domain],A5,tblComplianceControls[Status],"InProgress")</x:f>
        <x:v>0</x:v>
      </x:c>
      <x:c r="E5">
        <x:f>COUNTIFS(tblComplianceControls[Domain],A5,tblComplianceControls[Status],"Blocked")</x:f>
        <x:v>0</x:v>
      </x:c>
      <x:c r="F5">
        <x:f>COUNTIFS(tblComplianceControls[Domain],A5,tblComplianceControls[Status],"Complete")</x:f>
        <x:v>0</x:v>
      </x:c>
      <x:c r="G5">
        <x:f>COUNTIFS(tblComplianceControls[Domain],A5,tblComplianceControls[Status],"NA")</x:f>
        <x:v>0</x:v>
      </x:c>
    </x:row>
    <x:row r="6">
      <x:c r="A6" t="inlineStr">
        <x:is>
          <x:t xml:space="preserve">Datacenter Security</x:t>
        </x:is>
      </x:c>
      <x:c r="B6">
        <x:f>COUNTIF(tblComplianceControls[Domain],A6)</x:f>
        <x:v>0</x:v>
      </x:c>
      <x:c r="C6">
        <x:f>COUNTIFS(tblComplianceControls[Domain],A6,tblComplianceControls[Status],"NotStarted")</x:f>
        <x:v>0</x:v>
      </x:c>
      <x:c r="D6">
        <x:f>COUNTIFS(tblComplianceControls[Domain],A6,tblComplianceControls[Status],"InProgress")</x:f>
        <x:v>0</x:v>
      </x:c>
      <x:c r="E6">
        <x:f>COUNTIFS(tblComplianceControls[Domain],A6,tblComplianceControls[Status],"Blocked")</x:f>
        <x:v>0</x:v>
      </x:c>
      <x:c r="F6">
        <x:f>COUNTIFS(tblComplianceControls[Domain],A6,tblComplianceControls[Status],"Complete")</x:f>
        <x:v>0</x:v>
      </x:c>
      <x:c r="G6">
        <x:f>COUNTIFS(tblComplianceControls[Domain],A6,tblComplianceControls[Status],"NA")</x:f>
        <x:v>0</x:v>
      </x:c>
    </x:row>
    <x:row r="7">
      <x:c r="A7" t="inlineStr">
        <x:is>
          <x:t xml:space="preserve">Encryption &amp; Key Management</x:t>
        </x:is>
      </x:c>
      <x:c r="B7">
        <x:f>COUNTIF(tblComplianceControls[Domain],A7)</x:f>
        <x:v>0</x:v>
      </x:c>
      <x:c r="C7">
        <x:f>COUNTIFS(tblComplianceControls[Domain],A7,tblComplianceControls[Status],"NotStarted")</x:f>
        <x:v>0</x:v>
      </x:c>
      <x:c r="D7">
        <x:f>COUNTIFS(tblComplianceControls[Domain],A7,tblComplianceControls[Status],"InProgress")</x:f>
        <x:v>0</x:v>
      </x:c>
      <x:c r="E7">
        <x:f>COUNTIFS(tblComplianceControls[Domain],A7,tblComplianceControls[Status],"Blocked")</x:f>
        <x:v>0</x:v>
      </x:c>
      <x:c r="F7">
        <x:f>COUNTIFS(tblComplianceControls[Domain],A7,tblComplianceControls[Status],"Complete")</x:f>
        <x:v>0</x:v>
      </x:c>
      <x:c r="G7">
        <x:f>COUNTIFS(tblComplianceControls[Domain],A7,tblComplianceControls[Status],"NA")</x:f>
        <x:v>0</x:v>
      </x:c>
    </x:row>
    <x:row r="8">
      <x:c r="A8" t="inlineStr">
        <x:is>
          <x:t xml:space="preserve">Governance and Risk Management</x:t>
        </x:is>
      </x:c>
      <x:c r="B8">
        <x:f>COUNTIF(tblComplianceControls[Domain],A8)</x:f>
        <x:v>0</x:v>
      </x:c>
      <x:c r="C8">
        <x:f>COUNTIFS(tblComplianceControls[Domain],A8,tblComplianceControls[Status],"NotStarted")</x:f>
        <x:v>0</x:v>
      </x:c>
      <x:c r="D8">
        <x:f>COUNTIFS(tblComplianceControls[Domain],A8,tblComplianceControls[Status],"InProgress")</x:f>
        <x:v>0</x:v>
      </x:c>
      <x:c r="E8">
        <x:f>COUNTIFS(tblComplianceControls[Domain],A8,tblComplianceControls[Status],"Blocked")</x:f>
        <x:v>0</x:v>
      </x:c>
      <x:c r="F8">
        <x:f>COUNTIFS(tblComplianceControls[Domain],A8,tblComplianceControls[Status],"Complete")</x:f>
        <x:v>0</x:v>
      </x:c>
      <x:c r="G8">
        <x:f>COUNTIFS(tblComplianceControls[Domain],A8,tblComplianceControls[Status],"NA")</x:f>
        <x:v>0</x:v>
      </x:c>
    </x:row>
    <x:row r="9">
      <x:c r="A9" t="inlineStr">
        <x:is>
          <x:t xml:space="preserve">Human Resources</x:t>
        </x:is>
      </x:c>
      <x:c r="B9">
        <x:f>COUNTIF(tblComplianceControls[Domain],A9)</x:f>
        <x:v>0</x:v>
      </x:c>
      <x:c r="C9">
        <x:f>COUNTIFS(tblComplianceControls[Domain],A9,tblComplianceControls[Status],"NotStarted")</x:f>
        <x:v>0</x:v>
      </x:c>
      <x:c r="D9">
        <x:f>COUNTIFS(tblComplianceControls[Domain],A9,tblComplianceControls[Status],"InProgress")</x:f>
        <x:v>0</x:v>
      </x:c>
      <x:c r="E9">
        <x:f>COUNTIFS(tblComplianceControls[Domain],A9,tblComplianceControls[Status],"Blocked")</x:f>
        <x:v>0</x:v>
      </x:c>
      <x:c r="F9">
        <x:f>COUNTIFS(tblComplianceControls[Domain],A9,tblComplianceControls[Status],"Complete")</x:f>
        <x:v>0</x:v>
      </x:c>
      <x:c r="G9">
        <x:f>COUNTIFS(tblComplianceControls[Domain],A9,tblComplianceControls[Status],"NA")</x:f>
        <x:v>0</x:v>
      </x:c>
    </x:row>
    <x:row r="10">
      <x:c r="A10" t="inlineStr">
        <x:is>
          <x:t xml:space="preserve">Identity &amp; Access Management</x:t>
        </x:is>
      </x:c>
      <x:c r="B10">
        <x:f>COUNTIF(tblComplianceControls[Domain],A10)</x:f>
        <x:v>0</x:v>
      </x:c>
      <x:c r="C10">
        <x:f>COUNTIFS(tblComplianceControls[Domain],A10,tblComplianceControls[Status],"NotStarted")</x:f>
        <x:v>0</x:v>
      </x:c>
      <x:c r="D10">
        <x:f>COUNTIFS(tblComplianceControls[Domain],A10,tblComplianceControls[Status],"InProgress")</x:f>
        <x:v>0</x:v>
      </x:c>
      <x:c r="E10">
        <x:f>COUNTIFS(tblComplianceControls[Domain],A10,tblComplianceControls[Status],"Blocked")</x:f>
        <x:v>0</x:v>
      </x:c>
      <x:c r="F10">
        <x:f>COUNTIFS(tblComplianceControls[Domain],A10,tblComplianceControls[Status],"Complete")</x:f>
        <x:v>0</x:v>
      </x:c>
      <x:c r="G10">
        <x:f>COUNTIFS(tblComplianceControls[Domain],A10,tblComplianceControls[Status],"NA")</x:f>
        <x:v>0</x:v>
      </x:c>
    </x:row>
    <x:row r="11">
      <x:c r="A11" t="inlineStr">
        <x:is>
          <x:t xml:space="preserve">Supply Chain Management, Transparency and Accountability</x:t>
        </x:is>
      </x:c>
      <x:c r="B11">
        <x:f>COUNTIF(tblComplianceControls[Domain],A11)</x:f>
        <x:v>0</x:v>
      </x:c>
      <x:c r="C11">
        <x:f>COUNTIFS(tblComplianceControls[Domain],A11,tblComplianceControls[Status],"NotStarted")</x:f>
        <x:v>0</x:v>
      </x:c>
      <x:c r="D11">
        <x:f>COUNTIFS(tblComplianceControls[Domain],A11,tblComplianceControls[Status],"InProgress")</x:f>
        <x:v>0</x:v>
      </x:c>
      <x:c r="E11">
        <x:f>COUNTIFS(tblComplianceControls[Domain],A11,tblComplianceControls[Status],"Blocked")</x:f>
        <x:v>0</x:v>
      </x:c>
      <x:c r="F11">
        <x:f>COUNTIFS(tblComplianceControls[Domain],A11,tblComplianceControls[Status],"Complete")</x:f>
        <x:v>0</x:v>
      </x:c>
      <x:c r="G11">
        <x:f>COUNTIFS(tblComplianceControls[Domain],A11,tblComplianceControls[Status],"NA")</x:f>
        <x:v>0</x:v>
      </x:c>
    </x:row>
    <x:row r="13">
      <x:c r="A13" s="8" t="inlineStr">
        <x:is>
          <x:t xml:space="preserve">ControlFamily</x:t>
        </x:is>
      </x:c>
      <x:c r="B13" s="8" t="inlineStr">
        <x:is>
          <x:t xml:space="preserve">Total</x:t>
        </x:is>
      </x:c>
      <x:c r="C13" s="8" t="inlineStr">
        <x:is>
          <x:t xml:space="preserve">NotStarted</x:t>
        </x:is>
      </x:c>
      <x:c r="D13" s="8" t="inlineStr">
        <x:is>
          <x:t xml:space="preserve">InProgress</x:t>
        </x:is>
      </x:c>
      <x:c r="E13" s="8" t="inlineStr">
        <x:is>
          <x:t xml:space="preserve">Blocked</x:t>
        </x:is>
      </x:c>
      <x:c r="F13" s="8" t="inlineStr">
        <x:is>
          <x:t xml:space="preserve">Complete</x:t>
        </x:is>
      </x:c>
      <x:c r="G13" s="8" t="inlineStr">
        <x:is>
          <x:t xml:space="preserve">NA</x:t>
        </x:is>
      </x:c>
    </x:row>
    <x:row r="14">
      <x:c r="A14" t="inlineStr">
        <x:is>
          <x:t xml:space="preserve">AAC</x:t>
        </x:is>
      </x:c>
      <x:c r="B14">
        <x:f>COUNTIF(tblComplianceControls[ControlFamily],A14)</x:f>
        <x:v>0</x:v>
      </x:c>
      <x:c r="C14">
        <x:f>COUNTIFS(tblComplianceControls[ControlFamily],A14,tblComplianceControls[Status],"NotStarted")</x:f>
        <x:v>0</x:v>
      </x:c>
      <x:c r="D14">
        <x:f>COUNTIFS(tblComplianceControls[ControlFamily],A14,tblComplianceControls[Status],"InProgress")</x:f>
        <x:v>0</x:v>
      </x:c>
      <x:c r="E14">
        <x:f>COUNTIFS(tblComplianceControls[ControlFamily],A14,tblComplianceControls[Status],"Blocked")</x:f>
        <x:v>0</x:v>
      </x:c>
      <x:c r="F14">
        <x:f>COUNTIFS(tblComplianceControls[ControlFamily],A14,tblComplianceControls[Status],"Complete")</x:f>
        <x:v>0</x:v>
      </x:c>
      <x:c r="G14">
        <x:f>COUNTIFS(tblComplianceControls[ControlFamily],A14,tblComplianceControls[Status],"NA")</x:f>
        <x:v>0</x:v>
      </x:c>
    </x:row>
    <x:row r="15">
      <x:c r="A15" t="inlineStr">
        <x:is>
          <x:t xml:space="preserve">BCR</x:t>
        </x:is>
      </x:c>
      <x:c r="B15">
        <x:f>COUNTIF(tblComplianceControls[ControlFamily],A15)</x:f>
        <x:v>0</x:v>
      </x:c>
      <x:c r="C15">
        <x:f>COUNTIFS(tblComplianceControls[ControlFamily],A15,tblComplianceControls[Status],"NotStarted")</x:f>
        <x:v>0</x:v>
      </x:c>
      <x:c r="D15">
        <x:f>COUNTIFS(tblComplianceControls[ControlFamily],A15,tblComplianceControls[Status],"InProgress")</x:f>
        <x:v>0</x:v>
      </x:c>
      <x:c r="E15">
        <x:f>COUNTIFS(tblComplianceControls[ControlFamily],A15,tblComplianceControls[Status],"Blocked")</x:f>
        <x:v>0</x:v>
      </x:c>
      <x:c r="F15">
        <x:f>COUNTIFS(tblComplianceControls[ControlFamily],A15,tblComplianceControls[Status],"Complete")</x:f>
        <x:v>0</x:v>
      </x:c>
      <x:c r="G15">
        <x:f>COUNTIFS(tblComplianceControls[ControlFamily],A15,tblComplianceControls[Status],"NA")</x:f>
        <x:v>0</x:v>
      </x:c>
    </x:row>
    <x:row r="16">
      <x:c r="A16" t="inlineStr">
        <x:is>
          <x:t xml:space="preserve">CCC</x:t>
        </x:is>
      </x:c>
      <x:c r="B16">
        <x:f>COUNTIF(tblComplianceControls[ControlFamily],A16)</x:f>
        <x:v>0</x:v>
      </x:c>
      <x:c r="C16">
        <x:f>COUNTIFS(tblComplianceControls[ControlFamily],A16,tblComplianceControls[Status],"NotStarted")</x:f>
        <x:v>0</x:v>
      </x:c>
      <x:c r="D16">
        <x:f>COUNTIFS(tblComplianceControls[ControlFamily],A16,tblComplianceControls[Status],"InProgress")</x:f>
        <x:v>0</x:v>
      </x:c>
      <x:c r="E16">
        <x:f>COUNTIFS(tblComplianceControls[ControlFamily],A16,tblComplianceControls[Status],"Blocked")</x:f>
        <x:v>0</x:v>
      </x:c>
      <x:c r="F16">
        <x:f>COUNTIFS(tblComplianceControls[ControlFamily],A16,tblComplianceControls[Status],"Complete")</x:f>
        <x:v>0</x:v>
      </x:c>
      <x:c r="G16">
        <x:f>COUNTIFS(tblComplianceControls[ControlFamily],A16,tblComplianceControls[Status],"NA")</x:f>
        <x:v>0</x:v>
      </x:c>
    </x:row>
    <x:row r="17">
      <x:c r="A17" t="inlineStr">
        <x:is>
          <x:t xml:space="preserve">DCS</x:t>
        </x:is>
      </x:c>
      <x:c r="B17">
        <x:f>COUNTIF(tblComplianceControls[ControlFamily],A17)</x:f>
        <x:v>0</x:v>
      </x:c>
      <x:c r="C17">
        <x:f>COUNTIFS(tblComplianceControls[ControlFamily],A17,tblComplianceControls[Status],"NotStarted")</x:f>
        <x:v>0</x:v>
      </x:c>
      <x:c r="D17">
        <x:f>COUNTIFS(tblComplianceControls[ControlFamily],A17,tblComplianceControls[Status],"InProgress")</x:f>
        <x:v>0</x:v>
      </x:c>
      <x:c r="E17">
        <x:f>COUNTIFS(tblComplianceControls[ControlFamily],A17,tblComplianceControls[Status],"Blocked")</x:f>
        <x:v>0</x:v>
      </x:c>
      <x:c r="F17">
        <x:f>COUNTIFS(tblComplianceControls[ControlFamily],A17,tblComplianceControls[Status],"Complete")</x:f>
        <x:v>0</x:v>
      </x:c>
      <x:c r="G17">
        <x:f>COUNTIFS(tblComplianceControls[ControlFamily],A17,tblComplianceControls[Status],"NA")</x:f>
        <x:v>0</x:v>
      </x:c>
    </x:row>
    <x:row r="18">
      <x:c r="A18" t="inlineStr">
        <x:is>
          <x:t xml:space="preserve">DSI</x:t>
        </x:is>
      </x:c>
      <x:c r="B18">
        <x:f>COUNTIF(tblComplianceControls[ControlFamily],A18)</x:f>
        <x:v>0</x:v>
      </x:c>
      <x:c r="C18">
        <x:f>COUNTIFS(tblComplianceControls[ControlFamily],A18,tblComplianceControls[Status],"NotStarted")</x:f>
        <x:v>0</x:v>
      </x:c>
      <x:c r="D18">
        <x:f>COUNTIFS(tblComplianceControls[ControlFamily],A18,tblComplianceControls[Status],"InProgress")</x:f>
        <x:v>0</x:v>
      </x:c>
      <x:c r="E18">
        <x:f>COUNTIFS(tblComplianceControls[ControlFamily],A18,tblComplianceControls[Status],"Blocked")</x:f>
        <x:v>0</x:v>
      </x:c>
      <x:c r="F18">
        <x:f>COUNTIFS(tblComplianceControls[ControlFamily],A18,tblComplianceControls[Status],"Complete")</x:f>
        <x:v>0</x:v>
      </x:c>
      <x:c r="G18">
        <x:f>COUNTIFS(tblComplianceControls[ControlFamily],A18,tblComplianceControls[Status],"NA")</x:f>
        <x:v>0</x:v>
      </x:c>
    </x:row>
    <x:row r="19">
      <x:c r="A19" t="inlineStr">
        <x:is>
          <x:t xml:space="preserve">EKM</x:t>
        </x:is>
      </x:c>
      <x:c r="B19">
        <x:f>COUNTIF(tblComplianceControls[ControlFamily],A19)</x:f>
        <x:v>0</x:v>
      </x:c>
      <x:c r="C19">
        <x:f>COUNTIFS(tblComplianceControls[ControlFamily],A19,tblComplianceControls[Status],"NotStarted")</x:f>
        <x:v>0</x:v>
      </x:c>
      <x:c r="D19">
        <x:f>COUNTIFS(tblComplianceControls[ControlFamily],A19,tblComplianceControls[Status],"InProgress")</x:f>
        <x:v>0</x:v>
      </x:c>
      <x:c r="E19">
        <x:f>COUNTIFS(tblComplianceControls[ControlFamily],A19,tblComplianceControls[Status],"Blocked")</x:f>
        <x:v>0</x:v>
      </x:c>
      <x:c r="F19">
        <x:f>COUNTIFS(tblComplianceControls[ControlFamily],A19,tblComplianceControls[Status],"Complete")</x:f>
        <x:v>0</x:v>
      </x:c>
      <x:c r="G19">
        <x:f>COUNTIFS(tblComplianceControls[ControlFamily],A19,tblComplianceControls[Status],"NA")</x:f>
        <x:v>0</x:v>
      </x:c>
    </x:row>
    <x:row r="20">
      <x:c r="A20" t="inlineStr">
        <x:is>
          <x:t xml:space="preserve">GRM</x:t>
        </x:is>
      </x:c>
      <x:c r="B20">
        <x:f>COUNTIF(tblComplianceControls[ControlFamily],A20)</x:f>
        <x:v>0</x:v>
      </x:c>
      <x:c r="C20">
        <x:f>COUNTIFS(tblComplianceControls[ControlFamily],A20,tblComplianceControls[Status],"NotStarted")</x:f>
        <x:v>0</x:v>
      </x:c>
      <x:c r="D20">
        <x:f>COUNTIFS(tblComplianceControls[ControlFamily],A20,tblComplianceControls[Status],"InProgress")</x:f>
        <x:v>0</x:v>
      </x:c>
      <x:c r="E20">
        <x:f>COUNTIFS(tblComplianceControls[ControlFamily],A20,tblComplianceControls[Status],"Blocked")</x:f>
        <x:v>0</x:v>
      </x:c>
      <x:c r="F20">
        <x:f>COUNTIFS(tblComplianceControls[ControlFamily],A20,tblComplianceControls[Status],"Complete")</x:f>
        <x:v>0</x:v>
      </x:c>
      <x:c r="G20">
        <x:f>COUNTIFS(tblComplianceControls[ControlFamily],A20,tblComplianceControls[Status],"NA")</x:f>
        <x:v>0</x:v>
      </x:c>
    </x:row>
    <x:row r="21">
      <x:c r="A21" t="inlineStr">
        <x:is>
          <x:t xml:space="preserve">HRS</x:t>
        </x:is>
      </x:c>
      <x:c r="B21">
        <x:f>COUNTIF(tblComplianceControls[ControlFamily],A21)</x:f>
        <x:v>0</x:v>
      </x:c>
      <x:c r="C21">
        <x:f>COUNTIFS(tblComplianceControls[ControlFamily],A21,tblComplianceControls[Status],"NotStarted")</x:f>
        <x:v>0</x:v>
      </x:c>
      <x:c r="D21">
        <x:f>COUNTIFS(tblComplianceControls[ControlFamily],A21,tblComplianceControls[Status],"InProgress")</x:f>
        <x:v>0</x:v>
      </x:c>
      <x:c r="E21">
        <x:f>COUNTIFS(tblComplianceControls[ControlFamily],A21,tblComplianceControls[Status],"Blocked")</x:f>
        <x:v>0</x:v>
      </x:c>
      <x:c r="F21">
        <x:f>COUNTIFS(tblComplianceControls[ControlFamily],A21,tblComplianceControls[Status],"Complete")</x:f>
        <x:v>0</x:v>
      </x:c>
      <x:c r="G21">
        <x:f>COUNTIFS(tblComplianceControls[ControlFamily],A21,tblComplianceControls[Status],"NA")</x:f>
        <x:v>0</x:v>
      </x:c>
    </x:row>
    <x:row r="22">
      <x:c r="A22" t="inlineStr">
        <x:is>
          <x:t xml:space="preserve">IAM</x:t>
        </x:is>
      </x:c>
      <x:c r="B22">
        <x:f>COUNTIF(tblComplianceControls[ControlFamily],A22)</x:f>
        <x:v>0</x:v>
      </x:c>
      <x:c r="C22">
        <x:f>COUNTIFS(tblComplianceControls[ControlFamily],A22,tblComplianceControls[Status],"NotStarted")</x:f>
        <x:v>0</x:v>
      </x:c>
      <x:c r="D22">
        <x:f>COUNTIFS(tblComplianceControls[ControlFamily],A22,tblComplianceControls[Status],"InProgress")</x:f>
        <x:v>0</x:v>
      </x:c>
      <x:c r="E22">
        <x:f>COUNTIFS(tblComplianceControls[ControlFamily],A22,tblComplianceControls[Status],"Blocked")</x:f>
        <x:v>0</x:v>
      </x:c>
      <x:c r="F22">
        <x:f>COUNTIFS(tblComplianceControls[ControlFamily],A22,tblComplianceControls[Status],"Complete")</x:f>
        <x:v>0</x:v>
      </x:c>
      <x:c r="G22">
        <x:f>COUNTIFS(tblComplianceControls[ControlFamily],A22,tblComplianceControls[Status],"NA")</x:f>
        <x:v>0</x:v>
      </x:c>
    </x:row>
    <x:row r="23">
      <x:c r="A23" t="inlineStr">
        <x:is>
          <x:t xml:space="preserve">STA</x:t>
        </x:is>
      </x:c>
      <x:c r="B23">
        <x:f>COUNTIF(tblComplianceControls[ControlFamily],A23)</x:f>
        <x:v>0</x:v>
      </x:c>
      <x:c r="C23">
        <x:f>COUNTIFS(tblComplianceControls[ControlFamily],A23,tblComplianceControls[Status],"NotStarted")</x:f>
        <x:v>0</x:v>
      </x:c>
      <x:c r="D23">
        <x:f>COUNTIFS(tblComplianceControls[ControlFamily],A23,tblComplianceControls[Status],"InProgress")</x:f>
        <x:v>0</x:v>
      </x:c>
      <x:c r="E23">
        <x:f>COUNTIFS(tblComplianceControls[ControlFamily],A23,tblComplianceControls[Status],"Blocked")</x:f>
        <x:v>0</x:v>
      </x:c>
      <x:c r="F23">
        <x:f>COUNTIFS(tblComplianceControls[ControlFamily],A23,tblComplianceControls[Status],"Complete")</x:f>
        <x:v>0</x:v>
      </x:c>
      <x:c r="G23">
        <x:f>COUNTIFS(tblComplianceControls[ControlFamily],A23,tblComplianceControls[Status],"NA")</x:f>
        <x:v>0</x:v>
      </x:c>
    </x:row>
  </x:sheetData>
  <x:pageMargins left="0.7" right="0.7" top="0.75" bottom="0.75" header="0.3" footer="0.3"/>
</x:worksheet>
</file>

<file path=xl/worksheets/sheet11.xml><?xml version="1.0" encoding="utf-8"?>
<x:worksheet xmlns:x="http://schemas.openxmlformats.org/spreadsheetml/2006/main">
  <x:sheetFormatPr defaultRowHeight="15"/>
  <x:sheetData>
    <x:row r="1">
      <x:c r="A1" t="inlineStr">
        <x:is>
          <x:t xml:space="preserve">Sheet</x:t>
        </x:is>
      </x:c>
      <x:c r="B1" t="inlineStr">
        <x:is>
          <x:t xml:space="preserve">Completeness_%</x:t>
        </x:is>
      </x:c>
      <x:c r="C1" t="inlineStr">
        <x:is>
          <x:t xml:space="preserve">Rows</x:t>
        </x:is>
      </x:c>
      <x:c r="D1" t="inlineStr">
        <x:is>
          <x:t xml:space="preserve">Cols</x:t>
        </x:is>
      </x:c>
      <x:c r="E1" t="inlineStr">
        <x:is>
          <x:t xml:space="preserve">Grade</x:t>
        </x:is>
      </x:c>
      <x:c r="F1" t="inlineStr">
        <x:is>
          <x:t xml:space="preserve">Key_Action</x:t>
        </x:is>
      </x:c>
    </x:row>
    <x:row r="2">
      <x:c r="A2" t="inlineStr">
        <x:is>
          <x:t xml:space="preserve">README</x:t>
        </x:is>
      </x:c>
      <x:c r="B2" t="n">
        <x:v>100</x:v>
      </x:c>
      <x:c r="C2" t="n">
        <x:v>6</x:v>
      </x:c>
      <x:c r="D2" t="n">
        <x:v>2</x:v>
      </x:c>
      <x:c r="E2" t="inlineStr">
        <x:is>
          <x:t xml:space="preserve">A</x:t>
        </x:is>
      </x:c>
      <x:c r="F2" t="inlineStr">
        <x:is>
          <x:t xml:space="preserve"/>
        </x:is>
      </x:c>
    </x:row>
    <x:row r="3">
      <x:c r="A3" t="inlineStr">
        <x:is>
          <x:t xml:space="preserve">Uncertainty_Log</x:t>
        </x:is>
      </x:c>
      <x:c r="B3" t="n">
        <x:v>100</x:v>
      </x:c>
      <x:c r="C3" t="n">
        <x:v>51</x:v>
      </x:c>
      <x:c r="D3" t="n">
        <x:v>11</x:v>
      </x:c>
      <x:c r="E3" t="inlineStr">
        <x:is>
          <x:t xml:space="preserve">A</x:t>
        </x:is>
      </x:c>
      <x:c r="F3" t="inlineStr">
        <x:is>
          <x:t xml:space="preserve"/>
        </x:is>
      </x:c>
    </x:row>
    <x:row r="4">
      <x:c r="A4" t="inlineStr">
        <x:is>
          <x:t xml:space="preserve">Assumptions_Log</x:t>
        </x:is>
      </x:c>
      <x:c r="B4" t="n">
        <x:v>100</x:v>
      </x:c>
      <x:c r="C4" t="n">
        <x:v>7</x:v>
      </x:c>
      <x:c r="D4" t="n">
        <x:v>8</x:v>
      </x:c>
      <x:c r="E4" t="inlineStr">
        <x:is>
          <x:t xml:space="preserve">A</x:t>
        </x:is>
      </x:c>
      <x:c r="F4" t="inlineStr">
        <x:is>
          <x:t xml:space="preserve"/>
        </x:is>
      </x:c>
    </x:row>
    <x:row r="5">
      <x:c r="A5" t="inlineStr">
        <x:is>
          <x:t xml:space="preserve">Requirements_Checklist</x:t>
        </x:is>
      </x:c>
      <x:c r="B5" t="n">
        <x:v>100</x:v>
      </x:c>
      <x:c r="C5" t="n">
        <x:v>17</x:v>
      </x:c>
      <x:c r="D5" t="n">
        <x:v>6</x:v>
      </x:c>
      <x:c r="E5" t="inlineStr">
        <x:is>
          <x:t xml:space="preserve">A</x:t>
        </x:is>
      </x:c>
      <x:c r="F5" t="inlineStr">
        <x:is>
          <x:t xml:space="preserve"/>
        </x:is>
      </x:c>
    </x:row>
    <x:row r="6">
      <x:c r="A6" t="inlineStr">
        <x:is>
          <x:t xml:space="preserve">Document_Taxonomy</x:t>
        </x:is>
      </x:c>
      <x:c r="B6" t="n">
        <x:v>100</x:v>
      </x:c>
      <x:c r="C6" t="n">
        <x:v>9</x:v>
      </x:c>
      <x:c r="D6" t="n">
        <x:v>6</x:v>
      </x:c>
      <x:c r="E6" t="inlineStr">
        <x:is>
          <x:t xml:space="preserve">A</x:t>
        </x:is>
      </x:c>
      <x:c r="F6" t="inlineStr">
        <x:is>
          <x:t xml:space="preserve"/>
        </x:is>
      </x:c>
    </x:row>
    <x:row r="7">
      <x:c r="A7" t="inlineStr">
        <x:is>
          <x:t xml:space="preserve">(X) TBD| Potential_Plan</x:t>
        </x:is>
      </x:c>
      <x:c r="B7" t="n">
        <x:v>100</x:v>
      </x:c>
      <x:c r="C7" t="n">
        <x:v>15</x:v>
      </x:c>
      <x:c r="D7" t="n">
        <x:v>5</x:v>
      </x:c>
      <x:c r="E7" t="inlineStr">
        <x:is>
          <x:t xml:space="preserve">A</x:t>
        </x:is>
      </x:c>
      <x:c r="F7" t="inlineStr">
        <x:is>
          <x:t xml:space="preserve"/>
        </x:is>
      </x:c>
    </x:row>
    <x:row r="8">
      <x:c r="A8" t="inlineStr">
        <x:is>
          <x:t xml:space="preserve">Prompt_Library_Index</x:t>
        </x:is>
      </x:c>
      <x:c r="B8" t="n">
        <x:v>100</x:v>
      </x:c>
      <x:c r="C8" t="n">
        <x:v>8</x:v>
      </x:c>
      <x:c r="D8" t="n">
        <x:v>7</x:v>
      </x:c>
      <x:c r="E8" t="inlineStr">
        <x:is>
          <x:t xml:space="preserve">A</x:t>
        </x:is>
      </x:c>
      <x:c r="F8" t="inlineStr">
        <x:is>
          <x:t xml:space="preserve"/>
        </x:is>
      </x:c>
    </x:row>
    <x:row r="9">
      <x:c r="A9" t="inlineStr">
        <x:is>
          <x:t xml:space="preserve">Compliance_Control_Framework</x:t>
        </x:is>
      </x:c>
      <x:c r="B9" t="n">
        <x:v>48</x:v>
      </x:c>
      <x:c r="C9" t="n">
        <x:v>61</x:v>
      </x:c>
      <x:c r="D9" t="n">
        <x:v>13</x:v>
      </x:c>
      <x:c r="E9" t="inlineStr">
        <x:is>
          <x:t xml:space="preserve">D</x:t>
        </x:is>
      </x:c>
      <x:c r="F9" t="inlineStr">
        <x:is>
          <x:t xml:space="preserve">Fill Owner/Priority/EvidenceIDs/GateIDs/SegmentIDs using Autofill sheet then HITL confirm.</x:t>
        </x:is>
      </x:c>
    </x:row>
    <x:row r="10">
      <x:c r="A10" t="inlineStr">
        <x:is>
          <x:t xml:space="preserve">Enums</x:t>
        </x:is>
      </x:c>
      <x:c r="B10" t="n">
        <x:v>91.7</x:v>
      </x:c>
      <x:c r="C10" t="n">
        <x:v>6</x:v>
      </x:c>
      <x:c r="D10" t="n">
        <x:v>2</x:v>
      </x:c>
      <x:c r="E10" t="inlineStr">
        <x:is>
          <x:t xml:space="preserve">B</x:t>
        </x:is>
      </x:c>
      <x:c r="F10" t="inlineStr">
        <x:is>
          <x:t xml:space="preserve"/>
        </x:is>
      </x:c>
    </x:row>
    <x:row r="11">
      <x:c r="A11" t="inlineStr">
        <x:is>
          <x:t xml:space="preserve">Compliance_Summary</x:t>
        </x:is>
      </x:c>
      <x:c r="B11" t="n">
        <x:v>21.1</x:v>
      </x:c>
      <x:c r="C11" t="n">
        <x:v>23</x:v>
      </x:c>
      <x:c r="D11" t="n">
        <x:v>7</x:v>
      </x:c>
      <x:c r="E11" t="inlineStr">
        <x:is>
          <x:t xml:space="preserve">E</x:t>
        </x:is>
      </x:c>
      <x:c r="F11" t="inlineStr">
        <x:is>
          <x:t xml:space="preserve">Populate summary narrative and control coverage metrics; link to ControlIDs.</x:t>
        </x:is>
      </x:c>
    </x:row>
  </x:sheetData>
  <x:pageMargins left="0.7" right="0.7" top="0.75" bottom="0.75" header="0.3" footer="0.3"/>
</x:worksheet>
</file>

<file path=xl/worksheets/sheet12.xml><?xml version="1.0" encoding="utf-8"?>
<x:worksheet xmlns:x="http://schemas.openxmlformats.org/spreadsheetml/2006/main">
  <x:sheetFormatPr defaultRowHeight="15"/>
  <x:sheetData>
    <x:row r="1">
      <x:c r="A1" t="inlineStr">
        <x:is>
          <x:t xml:space="preserve">ID</x:t>
        </x:is>
      </x:c>
      <x:c r="B1" t="inlineStr">
        <x:is>
          <x:t xml:space="preserve">Area</x:t>
        </x:is>
      </x:c>
      <x:c r="C1" t="inlineStr">
        <x:is>
          <x:t xml:space="preserve">Uncertainty</x:t>
        </x:is>
      </x:c>
      <x:c r="D1" t="inlineStr">
        <x:is>
          <x:t xml:space="preserve">Impact</x:t>
        </x:is>
      </x:c>
      <x:c r="E1" t="inlineStr">
        <x:is>
          <x:t xml:space="preserve">Confidence_%</x:t>
        </x:is>
      </x:c>
      <x:c r="F1" t="inlineStr">
        <x:is>
          <x:t xml:space="preserve">Evidence_needed</x:t>
        </x:is>
      </x:c>
      <x:c r="G1" t="inlineStr">
        <x:is>
          <x:t xml:space="preserve">Proposed_assumption</x:t>
        </x:is>
      </x:c>
      <x:c r="H1" t="inlineStr">
        <x:is>
          <x:t xml:space="preserve">HITL</x:t>
        </x:is>
      </x:c>
      <x:c r="I1" t="inlineStr">
        <x:is>
          <x:t xml:space="preserve">Owner</x:t>
        </x:is>
      </x:c>
      <x:c r="J1" t="inlineStr">
        <x:is>
          <x:t xml:space="preserve">Decision_deadline</x:t>
        </x:is>
      </x:c>
      <x:c r="K1" t="inlineStr">
        <x:is>
          <x:t xml:space="preserve">Notes</x:t>
        </x:is>
      </x:c>
      <x:c r="L1" t="inlineStr">
        <x:is>
          <x:t xml:space="preserve">RiskScore</x:t>
        </x:is>
      </x:c>
      <x:c r="M1" t="inlineStr">
        <x:is>
          <x:t xml:space="preserve">DeadlineStatus</x:t>
        </x:is>
      </x:c>
      <x:c r="N1" t="inlineStr">
        <x:is>
          <x:t xml:space="preserve">PriorityTier</x:t>
        </x:is>
      </x:c>
      <x:c r="O1" t="inlineStr">
        <x:is>
          <x:t xml:space="preserve">New_deadline</x:t>
        </x:is>
      </x:c>
      <x:c r="P1" t="inlineStr">
        <x:is>
          <x:t xml:space="preserve">Next_action</x:t>
        </x:is>
      </x:c>
    </x:row>
    <x:row r="2">
      <x:c r="A2" t="inlineStr">
        <x:is>
          <x:t xml:space="preserve">U-001</x:t>
        </x:is>
      </x:c>
      <x:c r="B2" t="inlineStr">
        <x:is>
          <x:t xml:space="preserve">Org/People</x:t>
        </x:is>
      </x:c>
      <x:c r="C2" t="inlineStr">
        <x:is>
          <x:t xml:space="preserve">Exact departments + heads + reporting lines (incl. tender committee)</x:t>
        </x:is>
      </x:c>
      <x:c r="D2" t="inlineStr">
        <x:is>
          <x:t xml:space="preserve">High</x:t>
        </x:is>
      </x:c>
      <x:c r="E2" t="inlineStr">
        <x:is>
          <x:t xml:space="preserve">35</x:t>
        </x:is>
      </x:c>
      <x:c r="F2" t="inlineStr">
        <x:is>
          <x:t xml:space="preserve">Org chart + RACI</x:t>
        </x:is>
      </x:c>
      <x:c r="G2" t="inlineStr">
        <x:is>
          <x:t xml:space="preserve">Assume: Mgmt, PMO, Arch, MEP, Structural, QS/Cost, Finance, HR, IT, BD, QA/QC, Compliance</x:t>
        </x:is>
      </x:c>
      <x:c r="H2" t="inlineStr">
        <x:is>
          <x:t xml:space="preserve">Yes</x:t>
        </x:is>
      </x:c>
      <x:c r="I2" t="inlineStr">
        <x:is>
          <x:t xml:space="preserve">Moe</x:t>
        </x:is>
      </x:c>
      <x:c r="J2" t="inlineStr">
        <x:is>
          <x:t xml:space="preserve">2025-12-22</x:t>
        </x:is>
      </x:c>
      <x:c r="K2" t="inlineStr">
        <x:is>
          <x:t xml:space="preserve">Needed to set RBAC + routing.</x:t>
        </x:is>
      </x:c>
      <x:c r="L2" t="n">
        <x:v>195</x:v>
      </x:c>
      <x:c r="M2" t="inlineStr">
        <x:is>
          <x:t xml:space="preserve">Overdue</x:t>
        </x:is>
      </x:c>
      <x:c r="N2" t="inlineStr">
        <x:is>
          <x:t xml:space="preserve">T1</x:t>
        </x:is>
      </x:c>
      <x:c r="O2" t="inlineStr">
        <x:is>
          <x:t xml:space="preserve">2026-02-07</x:t>
        </x:is>
      </x:c>
      <x:c r="P2" t="inlineStr">
        <x:is>
          <x:t xml:space="preserve">Collect: Org chart + RACI; capture decision in SOP; update RBAC/workflows.</x:t>
        </x:is>
      </x:c>
    </x:row>
    <x:row r="3">
      <x:c r="A3" t="inlineStr">
        <x:is>
          <x:t xml:space="preserve">U-002</x:t>
        </x:is>
      </x:c>
      <x:c r="B3" t="inlineStr">
        <x:is>
          <x:t xml:space="preserve">Systems</x:t>
        </x:is>
      </x:c>
      <x:c r="C3" t="inlineStr">
        <x:is>
          <x:t xml:space="preserve">Current systems inventory (QuickBooks version, file server/SharePoint/OneDrive, email platform, tender portals)</x:t>
        </x:is>
      </x:c>
      <x:c r="D3" t="inlineStr">
        <x:is>
          <x:t xml:space="preserve">High</x:t>
        </x:is>
      </x:c>
      <x:c r="E3" t="inlineStr">
        <x:is>
          <x:t xml:space="preserve">30</x:t>
        </x:is>
      </x:c>
      <x:c r="F3" t="inlineStr">
        <x:is>
          <x:t xml:space="preserve">IT stack list</x:t>
        </x:is>
      </x:c>
      <x:c r="G3" t="inlineStr">
        <x:is>
          <x:t xml:space="preserve">Assume: O365 email, shared drives/SharePoint, QuickBooks (desktop), basic NAS backups</x:t>
        </x:is>
      </x:c>
      <x:c r="H3" t="inlineStr">
        <x:is>
          <x:t xml:space="preserve">Yes</x:t>
        </x:is>
      </x:c>
      <x:c r="I3" t="inlineStr">
        <x:is>
          <x:t xml:space="preserve">IT Lead</x:t>
        </x:is>
      </x:c>
      <x:c r="J3" t="inlineStr">
        <x:is>
          <x:t xml:space="preserve">2025-12-22</x:t>
        </x:is>
      </x:c>
      <x:c r="K3" t="inlineStr">
        <x:is>
          <x:t xml:space="preserve">Integration scope + connectors.</x:t>
        </x:is>
      </x:c>
      <x:c r="L3" t="n">
        <x:v>210</x:v>
      </x:c>
      <x:c r="M3" t="inlineStr">
        <x:is>
          <x:t xml:space="preserve">Overdue</x:t>
        </x:is>
      </x:c>
      <x:c r="N3" t="inlineStr">
        <x:is>
          <x:t xml:space="preserve">T0</x:t>
        </x:is>
      </x:c>
      <x:c r="O3" t="inlineStr">
        <x:is>
          <x:t xml:space="preserve">2026-01-31</x:t>
        </x:is>
      </x:c>
      <x:c r="P3" t="inlineStr">
        <x:is>
          <x:t xml:space="preserve">Collect: IT stack list; capture decision in SOP; update RBAC/workflows.</x:t>
        </x:is>
      </x:c>
    </x:row>
    <x:row r="4">
      <x:c r="A4" t="inlineStr">
        <x:is>
          <x:t xml:space="preserve">U-003</x:t>
        </x:is>
      </x:c>
      <x:c r="B4" t="inlineStr">
        <x:is>
          <x:t xml:space="preserve">Security</x:t>
        </x:is>
      </x:c>
      <x:c r="C4" t="inlineStr">
        <x:is>
          <x:t xml:space="preserve">Data residency constraints (cloud allowed? UAE-only? healthcare data constraints)</x:t>
        </x:is>
      </x:c>
      <x:c r="D4" t="inlineStr">
        <x:is>
          <x:t xml:space="preserve">High</x:t>
        </x:is>
      </x:c>
      <x:c r="E4" t="inlineStr">
        <x:is>
          <x:t xml:space="preserve">25</x:t>
        </x:is>
      </x:c>
      <x:c r="F4" t="inlineStr">
        <x:is>
          <x:t xml:space="preserve">IT + legal note</x:t>
        </x:is>
      </x:c>
      <x:c r="G4" t="inlineStr">
        <x:is>
          <x:t xml:space="preserve">Assume: default on-prem/UAE hosting option required; cloud optional with approval</x:t>
        </x:is>
      </x:c>
      <x:c r="H4" t="inlineStr">
        <x:is>
          <x:t xml:space="preserve">Yes</x:t>
        </x:is>
      </x:c>
      <x:c r="I4" t="inlineStr">
        <x:is>
          <x:t xml:space="preserve">Compliance</x:t>
        </x:is>
      </x:c>
      <x:c r="J4" t="inlineStr">
        <x:is>
          <x:t xml:space="preserve">2025-12-22</x:t>
        </x:is>
      </x:c>
      <x:c r="K4" t="inlineStr">
        <x:is>
          <x:t xml:space="preserve">Affects hosting + RAG.</x:t>
        </x:is>
      </x:c>
      <x:c r="L4" t="n">
        <x:v>225</x:v>
      </x:c>
      <x:c r="M4" t="inlineStr">
        <x:is>
          <x:t xml:space="preserve">Overdue</x:t>
        </x:is>
      </x:c>
      <x:c r="N4" t="inlineStr">
        <x:is>
          <x:t xml:space="preserve">T0</x:t>
        </x:is>
      </x:c>
      <x:c r="O4" t="inlineStr">
        <x:is>
          <x:t xml:space="preserve">2026-01-31</x:t>
        </x:is>
      </x:c>
      <x:c r="P4" t="inlineStr">
        <x:is>
          <x:t xml:space="preserve">Collect: IT + legal note; capture decision in SOP; update RBAC/workflows.</x:t>
        </x:is>
      </x:c>
    </x:row>
    <x:row r="5">
      <x:c r="A5" t="inlineStr">
        <x:is>
          <x:t xml:space="preserve">U-004</x:t>
        </x:is>
      </x:c>
      <x:c r="B5" t="inlineStr">
        <x:is>
          <x:t xml:space="preserve">Legal</x:t>
        </x:is>
      </x:c>
      <x:c r="C5" t="inlineStr">
        <x:is>
          <x:t xml:space="preserve">Which projects are under DOH/ADHICS or other sector rules (health data)</x:t>
        </x:is>
      </x:c>
      <x:c r="D5" t="inlineStr">
        <x:is>
          <x:t xml:space="preserve">High</x:t>
        </x:is>
      </x:c>
      <x:c r="E5" t="inlineStr">
        <x:is>
          <x:t xml:space="preserve">40</x:t>
        </x:is>
      </x:c>
      <x:c r="F5" t="inlineStr">
        <x:is>
          <x:t xml:space="preserve">Project list + client sector</x:t>
        </x:is>
      </x:c>
      <x:c r="G5" t="inlineStr">
        <x:is>
          <x:t xml:space="preserve">Assume: healthcare-heavy portfolio; treat all project docs as Confidential by default</x:t>
        </x:is>
      </x:c>
      <x:c r="H5" t="inlineStr">
        <x:is>
          <x:t xml:space="preserve">Yes</x:t>
        </x:is>
      </x:c>
      <x:c r="I5" t="inlineStr">
        <x:is>
          <x:t xml:space="preserve">Compliance</x:t>
        </x:is>
      </x:c>
      <x:c r="J5" t="inlineStr">
        <x:is>
          <x:t xml:space="preserve">2025-12-27</x:t>
        </x:is>
      </x:c>
      <x:c r="K5" t="inlineStr">
        <x:is>
          <x:t xml:space="preserve">Applies stronger controls.</x:t>
        </x:is>
      </x:c>
      <x:c r="L5" t="n">
        <x:v>180</x:v>
      </x:c>
      <x:c r="M5" t="inlineStr">
        <x:is>
          <x:t xml:space="preserve">Overdue</x:t>
        </x:is>
      </x:c>
      <x:c r="N5" t="inlineStr">
        <x:is>
          <x:t xml:space="preserve">T1</x:t>
        </x:is>
      </x:c>
      <x:c r="O5" t="inlineStr">
        <x:is>
          <x:t xml:space="preserve">2026-02-07</x:t>
        </x:is>
      </x:c>
      <x:c r="P5" t="inlineStr">
        <x:is>
          <x:t xml:space="preserve">Collect: Project list + client sector; capture decision in SOP; update RBAC/workflows.</x:t>
        </x:is>
      </x:c>
    </x:row>
    <x:row r="6">
      <x:c r="A6" t="inlineStr">
        <x:is>
          <x:t xml:space="preserve">U-005</x:t>
        </x:is>
      </x:c>
      <x:c r="B6" t="inlineStr">
        <x:is>
          <x:t xml:space="preserve">Ops</x:t>
        </x:is>
      </x:c>
      <x:c r="C6" t="inlineStr">
        <x:is>
          <x:t xml:space="preserve">Tender intake process: who receives first email + how docs are stored today</x:t>
        </x:is>
      </x:c>
      <x:c r="D6" t="inlineStr">
        <x:is>
          <x:t xml:space="preserve">High</x:t>
        </x:is>
      </x:c>
      <x:c r="E6" t="inlineStr">
        <x:is>
          <x:t xml:space="preserve">45</x:t>
        </x:is>
      </x:c>
      <x:c r="F6" t="inlineStr">
        <x:is>
          <x:t xml:space="preserve">Process walkthrough</x:t>
        </x:is>
      </x:c>
      <x:c r="G6" t="inlineStr">
        <x:is>
          <x:t xml:space="preserve">Assume: centralized tender mailbox + manual foldering</x:t>
        </x:is>
      </x:c>
      <x:c r="H6" t="inlineStr">
        <x:is>
          <x:t xml:space="preserve">Yes</x:t>
        </x:is>
      </x:c>
      <x:c r="I6" t="inlineStr">
        <x:is>
          <x:t xml:space="preserve">BD/PMO</x:t>
        </x:is>
      </x:c>
      <x:c r="J6" t="inlineStr">
        <x:is>
          <x:t xml:space="preserve">2025-12-22</x:t>
        </x:is>
      </x:c>
      <x:c r="K6" t="inlineStr">
        <x:is>
          <x:t xml:space="preserve">Defines ingestion automation.</x:t>
        </x:is>
      </x:c>
      <x:c r="L6" t="n">
        <x:v>165</x:v>
      </x:c>
      <x:c r="M6" t="inlineStr">
        <x:is>
          <x:t xml:space="preserve">Overdue</x:t>
        </x:is>
      </x:c>
      <x:c r="N6" t="inlineStr">
        <x:is>
          <x:t xml:space="preserve">T0</x:t>
        </x:is>
      </x:c>
      <x:c r="O6" t="inlineStr">
        <x:is>
          <x:t xml:space="preserve">2026-01-31</x:t>
        </x:is>
      </x:c>
      <x:c r="P6" t="inlineStr">
        <x:is>
          <x:t xml:space="preserve">Collect: Process walkthrough; capture decision in SOP; update RBAC/workflows.</x:t>
        </x:is>
      </x:c>
    </x:row>
    <x:row r="7">
      <x:c r="A7" t="inlineStr">
        <x:is>
          <x:t xml:space="preserve">U-006</x:t>
        </x:is>
      </x:c>
      <x:c r="B7" t="inlineStr">
        <x:is>
          <x:t xml:space="preserve">Ops</x:t>
        </x:is>
      </x:c>
      <x:c r="C7" t="inlineStr">
        <x:is>
          <x:t xml:space="preserve">Tender participation decision SLA and gatekeepers</x:t>
        </x:is>
      </x:c>
      <x:c r="D7" t="inlineStr">
        <x:is>
          <x:t xml:space="preserve">High</x:t>
        </x:is>
      </x:c>
      <x:c r="E7" t="inlineStr">
        <x:is>
          <x:t xml:space="preserve">40</x:t>
        </x:is>
      </x:c>
      <x:c r="F7" t="inlineStr">
        <x:is>
          <x:t xml:space="preserve">Mgmt policy or practice</x:t>
        </x:is>
      </x:c>
      <x:c r="G7" t="inlineStr">
        <x:is>
          <x:t xml:space="preserve">Assume: VP/Chairman approval required within 24–48h of receipt</x:t>
        </x:is>
      </x:c>
      <x:c r="H7" t="inlineStr">
        <x:is>
          <x:t xml:space="preserve">Yes</x:t>
        </x:is>
      </x:c>
      <x:c r="I7" t="inlineStr">
        <x:is>
          <x:t xml:space="preserve">Management</x:t>
        </x:is>
      </x:c>
      <x:c r="J7" t="inlineStr">
        <x:is>
          <x:t xml:space="preserve">2025-12-22</x:t>
        </x:is>
      </x:c>
      <x:c r="K7" t="inlineStr">
        <x:is>
          <x:t xml:space="preserve">Drives notification escalation.</x:t>
        </x:is>
      </x:c>
      <x:c r="L7" t="n">
        <x:v>180</x:v>
      </x:c>
      <x:c r="M7" t="inlineStr">
        <x:is>
          <x:t xml:space="preserve">Overdue</x:t>
        </x:is>
      </x:c>
      <x:c r="N7" t="inlineStr">
        <x:is>
          <x:t xml:space="preserve">T0</x:t>
        </x:is>
      </x:c>
      <x:c r="O7" t="inlineStr">
        <x:is>
          <x:t xml:space="preserve">2026-01-31</x:t>
        </x:is>
      </x:c>
      <x:c r="P7" t="inlineStr">
        <x:is>
          <x:t xml:space="preserve">Collect: Mgmt policy or practice; capture decision in SOP; update RBAC/workflows.</x:t>
        </x:is>
      </x:c>
    </x:row>
    <x:row r="8">
      <x:c r="A8" t="inlineStr">
        <x:is>
          <x:t xml:space="preserve">U-007</x:t>
        </x:is>
      </x:c>
      <x:c r="B8" t="inlineStr">
        <x:is>
          <x:t xml:space="preserve">Data</x:t>
        </x:is>
      </x:c>
      <x:c r="C8" t="inlineStr">
        <x:is>
          <x:t xml:space="preserve">Canonical project stages (Design vs Supervision vs Pre-Concept) and sub-stages</x:t>
        </x:is>
      </x:c>
      <x:c r="D8" t="inlineStr">
        <x:is>
          <x:t xml:space="preserve">High</x:t>
        </x:is>
      </x:c>
      <x:c r="E8" t="inlineStr">
        <x:is>
          <x:t xml:space="preserve">50</x:t>
        </x:is>
      </x:c>
      <x:c r="F8" t="inlineStr">
        <x:is>
          <x:t xml:space="preserve">Current tracker or list</x:t>
        </x:is>
      </x:c>
      <x:c r="G8" t="inlineStr">
        <x:is>
          <x:t xml:space="preserve">Assume: Pre-Concept→Concept→Schematic→Detailed→Tender→Construction Support→DLP</x:t>
        </x:is>
      </x:c>
      <x:c r="H8" t="inlineStr">
        <x:is>
          <x:t xml:space="preserve">Yes</x:t>
        </x:is>
      </x:c>
      <x:c r="I8" t="inlineStr">
        <x:is>
          <x:t xml:space="preserve">PMO</x:t>
        </x:is>
      </x:c>
      <x:c r="J8" t="inlineStr">
        <x:is>
          <x:t xml:space="preserve">2025-12-27</x:t>
        </x:is>
      </x:c>
      <x:c r="K8" t="inlineStr">
        <x:is>
          <x:t xml:space="preserve">Needed for tracker schema.</x:t>
        </x:is>
      </x:c>
      <x:c r="L8" t="n">
        <x:v>150</x:v>
      </x:c>
      <x:c r="M8" t="inlineStr">
        <x:is>
          <x:t xml:space="preserve">Overdue</x:t>
        </x:is>
      </x:c>
      <x:c r="N8" t="inlineStr">
        <x:is>
          <x:t xml:space="preserve">T1</x:t>
        </x:is>
      </x:c>
      <x:c r="O8" t="inlineStr">
        <x:is>
          <x:t xml:space="preserve">2026-02-07</x:t>
        </x:is>
      </x:c>
      <x:c r="P8" t="inlineStr">
        <x:is>
          <x:t xml:space="preserve">Collect: Current tracker or list; capture decision in SOP; update RBAC/workflows.</x:t>
        </x:is>
      </x:c>
    </x:row>
    <x:row r="9">
      <x:c r="A9" t="inlineStr">
        <x:is>
          <x:t xml:space="preserve">U-008</x:t>
        </x:is>
      </x:c>
      <x:c r="B9" t="inlineStr">
        <x:is>
          <x:t xml:space="preserve">Data</x:t>
        </x:is>
      </x:c>
      <x:c r="C9" t="inlineStr">
        <x:is>
          <x:t xml:space="preserve">Tender stages and required artifacts per stage</x:t>
        </x:is>
      </x:c>
      <x:c r="D9" t="inlineStr">
        <x:is>
          <x:t xml:space="preserve">High</x:t>
        </x:is>
      </x:c>
      <x:c r="E9" t="inlineStr">
        <x:is>
          <x:t xml:space="preserve">50</x:t>
        </x:is>
      </x:c>
      <x:c r="F9" t="inlineStr">
        <x:is>
          <x:t xml:space="preserve">Past tender log</x:t>
        </x:is>
      </x:c>
      <x:c r="G9" t="inlineStr">
        <x:is>
          <x:t xml:space="preserve">Assume: Intake→Eligibility→Clarifications/RFI→Site Visit→Tech→Commercial→Submission→Follow-up→Award/Regret</x:t>
        </x:is>
      </x:c>
      <x:c r="H9" t="inlineStr">
        <x:is>
          <x:t xml:space="preserve">Yes</x:t>
        </x:is>
      </x:c>
      <x:c r="I9" t="inlineStr">
        <x:is>
          <x:t xml:space="preserve">PMO</x:t>
        </x:is>
      </x:c>
      <x:c r="J9" t="inlineStr">
        <x:is>
          <x:t xml:space="preserve">2025-12-27</x:t>
        </x:is>
      </x:c>
      <x:c r="K9" t="inlineStr">
        <x:is>
          <x:t xml:space="preserve">Needed for KPI + workflow.</x:t>
        </x:is>
      </x:c>
      <x:c r="L9" t="n">
        <x:v>150</x:v>
      </x:c>
      <x:c r="M9" t="inlineStr">
        <x:is>
          <x:t xml:space="preserve">Overdue</x:t>
        </x:is>
      </x:c>
      <x:c r="N9" t="inlineStr">
        <x:is>
          <x:t xml:space="preserve">T1</x:t>
        </x:is>
      </x:c>
      <x:c r="O9" t="inlineStr">
        <x:is>
          <x:t xml:space="preserve">2026-02-07</x:t>
        </x:is>
      </x:c>
      <x:c r="P9" t="inlineStr">
        <x:is>
          <x:t xml:space="preserve">Collect: Past tender log; capture decision in SOP; update RBAC/workflows.</x:t>
        </x:is>
      </x:c>
    </x:row>
    <x:row r="10">
      <x:c r="A10" t="inlineStr">
        <x:is>
          <x:t xml:space="preserve">U-009</x:t>
        </x:is>
      </x:c>
      <x:c r="B10" t="inlineStr">
        <x:is>
          <x:t xml:space="preserve">Notifications</x:t>
        </x:is>
      </x:c>
      <x:c r="C10" t="inlineStr">
        <x:is>
          <x:t xml:space="preserve">Preferred channels for alerts (email/Teams/WhatsApp/SMS) and escalation hierarchy</x:t>
        </x:is>
      </x:c>
      <x:c r="D10" t="inlineStr">
        <x:is>
          <x:t xml:space="preserve">High</x:t>
        </x:is>
      </x:c>
      <x:c r="E10" t="inlineStr">
        <x:is>
          <x:t xml:space="preserve">45</x:t>
        </x:is>
      </x:c>
      <x:c r="F10" t="inlineStr">
        <x:is>
          <x:t xml:space="preserve">Mgmt preference</x:t>
        </x:is>
      </x:c>
      <x:c r="G10" t="inlineStr">
        <x:is>
          <x:t xml:space="preserve">Assume: email + in-app now; Teams later; SMS only critical</x:t>
        </x:is>
      </x:c>
      <x:c r="H10" t="inlineStr">
        <x:is>
          <x:t xml:space="preserve">Yes</x:t>
        </x:is>
      </x:c>
      <x:c r="I10" t="inlineStr">
        <x:is>
          <x:t xml:space="preserve">Management</x:t>
        </x:is>
      </x:c>
      <x:c r="J10" t="inlineStr">
        <x:is>
          <x:t xml:space="preserve">2025-12-22</x:t>
        </x:is>
      </x:c>
      <x:c r="K10" t="inlineStr">
        <x:is>
          <x:t xml:space="preserve">Must be right early.</x:t>
        </x:is>
      </x:c>
      <x:c r="L10" t="n">
        <x:v>165</x:v>
      </x:c>
      <x:c r="M10" t="inlineStr">
        <x:is>
          <x:t xml:space="preserve">Overdue</x:t>
        </x:is>
      </x:c>
      <x:c r="N10" t="inlineStr">
        <x:is>
          <x:t xml:space="preserve">T0</x:t>
        </x:is>
      </x:c>
      <x:c r="O10" t="inlineStr">
        <x:is>
          <x:t xml:space="preserve">2026-01-31</x:t>
        </x:is>
      </x:c>
      <x:c r="P10" t="inlineStr">
        <x:is>
          <x:t xml:space="preserve">Collect: Mgmt preference; capture decision in SOP; update RBAC/workflows.</x:t>
        </x:is>
      </x:c>
    </x:row>
    <x:row r="11">
      <x:c r="A11" t="inlineStr">
        <x:is>
          <x:t xml:space="preserve">U-010</x:t>
        </x:is>
      </x:c>
      <x:c r="B11" t="inlineStr">
        <x:is>
          <x:t xml:space="preserve">Docs/RAG</x:t>
        </x:is>
      </x:c>
      <x:c r="C11" t="inlineStr">
        <x:is>
          <x:t xml:space="preserve">Preferred RAG boundary: per-client, per-project, or global + filtered?</x:t>
        </x:is>
      </x:c>
      <x:c r="D11" t="inlineStr">
        <x:is>
          <x:t xml:space="preserve">High</x:t>
        </x:is>
      </x:c>
      <x:c r="E11" t="inlineStr">
        <x:is>
          <x:t xml:space="preserve">35</x:t>
        </x:is>
      </x:c>
      <x:c r="F11" t="inlineStr">
        <x:is>
          <x:t xml:space="preserve">Policy decision</x:t>
        </x:is>
      </x:c>
      <x:c r="G11" t="inlineStr">
        <x:is>
          <x:t xml:space="preserve">Assume: global index with strict tenant/project filters; optional isolated vaults</x:t>
        </x:is>
      </x:c>
      <x:c r="H11" t="inlineStr">
        <x:is>
          <x:t xml:space="preserve">Yes</x:t>
        </x:is>
      </x:c>
      <x:c r="I11" t="inlineStr">
        <x:is>
          <x:t xml:space="preserve">Compliance</x:t>
        </x:is>
      </x:c>
      <x:c r="J11" t="inlineStr">
        <x:is>
          <x:t xml:space="preserve">2025-12-27</x:t>
        </x:is>
      </x:c>
      <x:c r="K11" t="inlineStr">
        <x:is>
          <x:t xml:space="preserve">Avoids leakage.</x:t>
        </x:is>
      </x:c>
      <x:c r="L11" t="n">
        <x:v>195</x:v>
      </x:c>
      <x:c r="M11" t="inlineStr">
        <x:is>
          <x:t xml:space="preserve">Overdue</x:t>
        </x:is>
      </x:c>
      <x:c r="N11" t="inlineStr">
        <x:is>
          <x:t xml:space="preserve">T1</x:t>
        </x:is>
      </x:c>
      <x:c r="O11" t="inlineStr">
        <x:is>
          <x:t xml:space="preserve">2026-02-07</x:t>
        </x:is>
      </x:c>
      <x:c r="P11" t="inlineStr">
        <x:is>
          <x:t xml:space="preserve">Collect: Policy decision; capture decision in SOP; update RBAC/workflows.</x:t>
        </x:is>
      </x:c>
    </x:row>
    <x:row r="12">
      <x:c r="A12" t="inlineStr">
        <x:is>
          <x:t xml:space="preserve">U-011</x:t>
        </x:is>
      </x:c>
      <x:c r="B12" t="inlineStr">
        <x:is>
          <x:t xml:space="preserve">Docs/RAG</x:t>
        </x:is>
      </x:c>
      <x:c r="C12" t="inlineStr">
        <x:is>
          <x:t xml:space="preserve">Accepted doc parsing stack (Docling vs Unstructured vs Azure Form Recognizer etc.)</x:t>
        </x:is>
      </x:c>
      <x:c r="D12" t="inlineStr">
        <x:is>
          <x:t xml:space="preserve">Med</x:t>
        </x:is>
      </x:c>
      <x:c r="E12" t="inlineStr">
        <x:is>
          <x:t xml:space="preserve">60</x:t>
        </x:is>
      </x:c>
      <x:c r="F12" t="inlineStr">
        <x:is>
          <x:t xml:space="preserve">PoC results</x:t>
        </x:is>
      </x:c>
      <x:c r="G12" t="inlineStr">
        <x:is>
          <x:t xml:space="preserve">Assume: Docling first; fall back to Unstructured for edge cases</x:t>
        </x:is>
      </x:c>
      <x:c r="H12" t="inlineStr">
        <x:is>
          <x:t xml:space="preserve">No</x:t>
        </x:is>
      </x:c>
      <x:c r="I12" t="inlineStr">
        <x:is>
          <x:t xml:space="preserve">Engineering</x:t>
        </x:is>
      </x:c>
      <x:c r="J12" t="inlineStr">
        <x:is>
          <x:t xml:space="preserve">2025-12-27</x:t>
        </x:is>
      </x:c>
      <x:c r="K12" t="inlineStr">
        <x:is>
          <x:t xml:space="preserve">Can change after PoC.</x:t>
        </x:is>
      </x:c>
      <x:c r="L12" t="n">
        <x:v>80</x:v>
      </x:c>
      <x:c r="M12" t="inlineStr">
        <x:is>
          <x:t xml:space="preserve">Overdue</x:t>
        </x:is>
      </x:c>
      <x:c r="N12" t="inlineStr">
        <x:is>
          <x:t xml:space="preserve">T2</x:t>
        </x:is>
      </x:c>
      <x:c r="O12" t="inlineStr">
        <x:is>
          <x:t xml:space="preserve">2026-02-21</x:t>
        </x:is>
      </x:c>
      <x:c r="P12" t="inlineStr">
        <x:is>
          <x:t xml:space="preserve">Collect: PoC results; capture decision in SOP; update RBAC/workflows.</x:t>
        </x:is>
      </x:c>
    </x:row>
    <x:row r="13">
      <x:c r="A13" t="inlineStr">
        <x:is>
          <x:t xml:space="preserve">U-012</x:t>
        </x:is>
      </x:c>
      <x:c r="B13" t="inlineStr">
        <x:is>
          <x:t xml:space="preserve">UI</x:t>
        </x:is>
      </x:c>
      <x:c r="C13" t="inlineStr">
        <x:is>
          <x:t xml:space="preserve">Ed Hounour-style tracker UI elements that must be replicated (views/fields)</x:t>
        </x:is>
      </x:c>
      <x:c r="D13" t="inlineStr">
        <x:is>
          <x:t xml:space="preserve">Med</x:t>
        </x:is>
      </x:c>
      <x:c r="E13" t="inlineStr">
        <x:is>
          <x:t xml:space="preserve">55</x:t>
        </x:is>
      </x:c>
      <x:c r="F13" t="inlineStr">
        <x:is>
          <x:t xml:space="preserve">Screenshot/examples</x:t>
        </x:is>
      </x:c>
      <x:c r="G13" t="inlineStr">
        <x:is>
          <x:t xml:space="preserve">Assume: table + kanban + status chips + quick filters + weekly focus view</x:t>
        </x:is>
      </x:c>
      <x:c r="H13" t="inlineStr">
        <x:is>
          <x:t xml:space="preserve">Yes</x:t>
        </x:is>
      </x:c>
      <x:c r="I13" t="inlineStr">
        <x:is>
          <x:t xml:space="preserve">Moe</x:t>
        </x:is>
      </x:c>
      <x:c r="J13" t="inlineStr">
        <x:is>
          <x:t xml:space="preserve">2025-12-27</x:t>
        </x:is>
      </x:c>
      <x:c r="K13" t="inlineStr">
        <x:is>
          <x:t xml:space="preserve">Affects UX acceptance.</x:t>
        </x:is>
      </x:c>
      <x:c r="L13" t="n">
        <x:v>90</x:v>
      </x:c>
      <x:c r="M13" t="inlineStr">
        <x:is>
          <x:t xml:space="preserve">Overdue</x:t>
        </x:is>
      </x:c>
      <x:c r="N13" t="inlineStr">
        <x:is>
          <x:t xml:space="preserve">T2</x:t>
        </x:is>
      </x:c>
      <x:c r="O13" t="inlineStr">
        <x:is>
          <x:t xml:space="preserve">2026-02-21</x:t>
        </x:is>
      </x:c>
      <x:c r="P13" t="inlineStr">
        <x:is>
          <x:t xml:space="preserve">Collect: Screenshot/examples; capture decision in SOP; update RBAC/workflows.</x:t>
        </x:is>
      </x:c>
    </x:row>
    <x:row r="14">
      <x:c r="A14" t="inlineStr">
        <x:is>
          <x:t xml:space="preserve">U-013</x:t>
        </x:is>
      </x:c>
      <x:c r="B14" t="inlineStr">
        <x:is>
          <x:t xml:space="preserve">Finance</x:t>
        </x:is>
      </x:c>
      <x:c r="C14" t="inlineStr">
        <x:is>
          <x:t xml:space="preserve">30/60/90 forecast model: what inputs exist today?</x:t>
        </x:is>
      </x:c>
      <x:c r="D14" t="inlineStr">
        <x:is>
          <x:t xml:space="preserve">High</x:t>
        </x:is>
      </x:c>
      <x:c r="E14" t="inlineStr">
        <x:is>
          <x:t xml:space="preserve">30</x:t>
        </x:is>
      </x:c>
      <x:c r="F14" t="inlineStr">
        <x:is>
          <x:t xml:space="preserve">Finance workbook/process</x:t>
        </x:is>
      </x:c>
      <x:c r="G14" t="inlineStr">
        <x:is>
          <x:t xml:space="preserve">Assume: invoices + expenses in QuickBooks; need export to CSV</x:t>
        </x:is>
      </x:c>
      <x:c r="H14" t="inlineStr">
        <x:is>
          <x:t xml:space="preserve">Yes</x:t>
        </x:is>
      </x:c>
      <x:c r="I14" t="inlineStr">
        <x:is>
          <x:t xml:space="preserve">Finance</x:t>
        </x:is>
      </x:c>
      <x:c r="J14" t="inlineStr">
        <x:is>
          <x:t xml:space="preserve">2025-12-27</x:t>
        </x:is>
      </x:c>
      <x:c r="K14" t="inlineStr">
        <x:is>
          <x:t xml:space="preserve">Later module but needs schema now.</x:t>
        </x:is>
      </x:c>
      <x:c r="L14" t="n">
        <x:v>210</x:v>
      </x:c>
      <x:c r="M14" t="inlineStr">
        <x:is>
          <x:t xml:space="preserve">Overdue</x:t>
        </x:is>
      </x:c>
      <x:c r="N14" t="inlineStr">
        <x:is>
          <x:t xml:space="preserve">T0</x:t>
        </x:is>
      </x:c>
      <x:c r="O14" t="inlineStr">
        <x:is>
          <x:t xml:space="preserve">2026-01-31</x:t>
        </x:is>
      </x:c>
      <x:c r="P14" t="inlineStr">
        <x:is>
          <x:t xml:space="preserve">Collect: Finance workbook/process; capture decision in SOP; update RBAC/workflows.</x:t>
        </x:is>
      </x:c>
    </x:row>
    <x:row r="15">
      <x:c r="A15" t="inlineStr">
        <x:is>
          <x:t xml:space="preserve">U-014</x:t>
        </x:is>
      </x:c>
      <x:c r="B15" t="inlineStr">
        <x:is>
          <x:t xml:space="preserve">Email</x:t>
        </x:is>
      </x:c>
      <x:c r="C15" t="inlineStr">
        <x:is>
          <x:t xml:space="preserve">Email analysis scope: read-only classification vs auto-drafting vs auto-sending</x:t>
        </x:is>
      </x:c>
      <x:c r="D15" t="inlineStr">
        <x:is>
          <x:t xml:space="preserve">High</x:t>
        </x:is>
      </x:c>
      <x:c r="E15" t="inlineStr">
        <x:is>
          <x:t xml:space="preserve">35</x:t>
        </x:is>
      </x:c>
      <x:c r="F15" t="inlineStr">
        <x:is>
          <x:t xml:space="preserve">Policy decision</x:t>
        </x:is>
      </x:c>
      <x:c r="G15" t="inlineStr">
        <x:is>
          <x:t xml:space="preserve">Assume: drafting + human send (HITL) for v1; read-only ingestion ok</x:t>
        </x:is>
      </x:c>
      <x:c r="H15" t="inlineStr">
        <x:is>
          <x:t xml:space="preserve">Yes</x:t>
        </x:is>
      </x:c>
      <x:c r="I15" t="inlineStr">
        <x:is>
          <x:t xml:space="preserve">Compliance</x:t>
        </x:is>
      </x:c>
      <x:c r="J15" t="inlineStr">
        <x:is>
          <x:t xml:space="preserve">2025-12-27</x:t>
        </x:is>
      </x:c>
      <x:c r="K15" t="inlineStr">
        <x:is>
          <x:t xml:space="preserve">High risk area.</x:t>
        </x:is>
      </x:c>
      <x:c r="L15" t="n">
        <x:v>195</x:v>
      </x:c>
      <x:c r="M15" t="inlineStr">
        <x:is>
          <x:t xml:space="preserve">Overdue</x:t>
        </x:is>
      </x:c>
      <x:c r="N15" t="inlineStr">
        <x:is>
          <x:t xml:space="preserve">T0</x:t>
        </x:is>
      </x:c>
      <x:c r="O15" t="inlineStr">
        <x:is>
          <x:t xml:space="preserve">2026-01-31</x:t>
        </x:is>
      </x:c>
      <x:c r="P15" t="inlineStr">
        <x:is>
          <x:t xml:space="preserve">Collect: Policy decision; capture decision in SOP; update RBAC/workflows.</x:t>
        </x:is>
      </x:c>
    </x:row>
    <x:row r="16">
      <x:c r="A16" t="inlineStr">
        <x:is>
          <x:t xml:space="preserve">U-015</x:t>
        </x:is>
      </x:c>
      <x:c r="B16" t="inlineStr">
        <x:is>
          <x:t xml:space="preserve">Deployment</x:t>
        </x:is>
      </x:c>
      <x:c r="C16" t="inlineStr">
        <x:is>
          <x:t xml:space="preserve">Target hosting: on-prem server, UAE cloud VM, or managed PaaS?</x:t>
        </x:is>
      </x:c>
      <x:c r="D16" t="inlineStr">
        <x:is>
          <x:t xml:space="preserve">High</x:t>
        </x:is>
      </x:c>
      <x:c r="E16" t="inlineStr">
        <x:is>
          <x:t xml:space="preserve">40</x:t>
        </x:is>
      </x:c>
      <x:c r="F16" t="inlineStr">
        <x:is>
          <x:t xml:space="preserve">IT decision</x:t>
        </x:is>
      </x:c>
      <x:c r="G16" t="inlineStr">
        <x:is>
          <x:t xml:space="preserve">Assume: Docker Compose on UAE VM for v1; k8s later</x:t>
        </x:is>
      </x:c>
      <x:c r="H16" t="inlineStr">
        <x:is>
          <x:t xml:space="preserve">Yes</x:t>
        </x:is>
      </x:c>
      <x:c r="I16" t="inlineStr">
        <x:is>
          <x:t xml:space="preserve">IT Lead</x:t>
        </x:is>
      </x:c>
      <x:c r="J16" t="inlineStr">
        <x:is>
          <x:t xml:space="preserve">2025-12-22</x:t>
        </x:is>
      </x:c>
      <x:c r="K16" t="inlineStr">
        <x:is>
          <x:t xml:space="preserve">Impacts bootstrap.</x:t>
        </x:is>
      </x:c>
      <x:c r="L16" t="n">
        <x:v>180</x:v>
      </x:c>
      <x:c r="M16" t="inlineStr">
        <x:is>
          <x:t xml:space="preserve">Overdue</x:t>
        </x:is>
      </x:c>
      <x:c r="N16" t="inlineStr">
        <x:is>
          <x:t xml:space="preserve">T0</x:t>
        </x:is>
      </x:c>
      <x:c r="O16" t="inlineStr">
        <x:is>
          <x:t xml:space="preserve">2026-01-31</x:t>
        </x:is>
      </x:c>
      <x:c r="P16" t="inlineStr">
        <x:is>
          <x:t xml:space="preserve">Collect: IT decision; capture decision in SOP; update RBAC/workflows.</x:t>
        </x:is>
      </x:c>
    </x:row>
    <x:row r="17">
      <x:c r="A17" t="inlineStr">
        <x:is>
          <x:t xml:space="preserve">U-016</x:t>
        </x:is>
      </x:c>
      <x:c r="B17" t="inlineStr">
        <x:is>
          <x:t xml:space="preserve">Docs/RAG</x:t>
        </x:is>
      </x:c>
      <x:c r="C17" t="inlineStr">
        <x:is>
          <x:t xml:space="preserve">Bilingual handling: Arabic/English docs + mixed tables</x:t>
        </x:is>
      </x:c>
      <x:c r="D17" t="inlineStr">
        <x:is>
          <x:t xml:space="preserve">High</x:t>
        </x:is>
      </x:c>
      <x:c r="E17" t="inlineStr">
        <x:is>
          <x:t xml:space="preserve">40</x:t>
        </x:is>
      </x:c>
      <x:c r="F17" t="inlineStr">
        <x:is>
          <x:t xml:space="preserve">Sample bilingual docs</x:t>
        </x:is>
      </x:c>
      <x:c r="G17" t="inlineStr">
        <x:is>
          <x:t xml:space="preserve">Assume: store original + normalized bilingual metadata; bilingual embeddings if needed</x:t>
        </x:is>
      </x:c>
      <x:c r="H17" t="inlineStr">
        <x:is>
          <x:t xml:space="preserve">Yes</x:t>
        </x:is>
      </x:c>
      <x:c r="I17" t="inlineStr">
        <x:is>
          <x:t xml:space="preserve">Engineering</x:t>
        </x:is>
      </x:c>
      <x:c r="J17" t="inlineStr">
        <x:is>
          <x:t xml:space="preserve">2025-12-27</x:t>
        </x:is>
      </x:c>
      <x:c r="K17" t="inlineStr">
        <x:is>
          <x:t xml:space="preserve">Impacts search quality.</x:t>
        </x:is>
      </x:c>
      <x:c r="L17" t="n">
        <x:v>180</x:v>
      </x:c>
      <x:c r="M17" t="inlineStr">
        <x:is>
          <x:t xml:space="preserve">Overdue</x:t>
        </x:is>
      </x:c>
      <x:c r="N17" t="inlineStr">
        <x:is>
          <x:t xml:space="preserve">T1</x:t>
        </x:is>
      </x:c>
      <x:c r="O17" t="inlineStr">
        <x:is>
          <x:t xml:space="preserve">2026-02-07</x:t>
        </x:is>
      </x:c>
      <x:c r="P17" t="inlineStr">
        <x:is>
          <x:t xml:space="preserve">Collect: Sample bilingual docs; capture decision in SOP; update RBAC/workflows.</x:t>
        </x:is>
      </x:c>
    </x:row>
    <x:row r="18">
      <x:c r="A18" t="inlineStr">
        <x:is>
          <x:t xml:space="preserve">U-017</x:t>
        </x:is>
      </x:c>
      <x:c r="B18" t="inlineStr">
        <x:is>
          <x:t xml:space="preserve">Docs/RAG</x:t>
        </x:is>
      </x:c>
      <x:c r="C18" t="inlineStr">
        <x:is>
          <x:t xml:space="preserve">What constitutes an acceptable citation (page/section) for management</x:t>
        </x:is>
      </x:c>
      <x:c r="D18" t="inlineStr">
        <x:is>
          <x:t xml:space="preserve">Med</x:t>
        </x:is>
      </x:c>
      <x:c r="E18" t="inlineStr">
        <x:is>
          <x:t xml:space="preserve">55</x:t>
        </x:is>
      </x:c>
      <x:c r="F18" t="inlineStr">
        <x:is>
          <x:t xml:space="preserve">Stakeholder examples</x:t>
        </x:is>
      </x:c>
      <x:c r="G18" t="inlineStr">
        <x:is>
          <x:t xml:space="preserve">Assume: page+clause refs in outputs mandatory</x:t>
        </x:is>
      </x:c>
      <x:c r="H18" t="inlineStr">
        <x:is>
          <x:t xml:space="preserve">Yes</x:t>
        </x:is>
      </x:c>
      <x:c r="I18" t="inlineStr">
        <x:is>
          <x:t xml:space="preserve">Management</x:t>
        </x:is>
      </x:c>
      <x:c r="J18" t="inlineStr">
        <x:is>
          <x:t xml:space="preserve">2025-12-27</x:t>
        </x:is>
      </x:c>
      <x:c r="K18" t="inlineStr">
        <x:is>
          <x:t xml:space="preserve">Trust requirement.</x:t>
        </x:is>
      </x:c>
      <x:c r="L18" t="n">
        <x:v>90</x:v>
      </x:c>
      <x:c r="M18" t="inlineStr">
        <x:is>
          <x:t xml:space="preserve">Overdue</x:t>
        </x:is>
      </x:c>
      <x:c r="N18" t="inlineStr">
        <x:is>
          <x:t xml:space="preserve">T2</x:t>
        </x:is>
      </x:c>
      <x:c r="O18" t="inlineStr">
        <x:is>
          <x:t xml:space="preserve">2026-02-21</x:t>
        </x:is>
      </x:c>
      <x:c r="P18" t="inlineStr">
        <x:is>
          <x:t xml:space="preserve">Collect: Stakeholder examples; capture decision in SOP; update RBAC/workflows.</x:t>
        </x:is>
      </x:c>
    </x:row>
    <x:row r="19">
      <x:c r="A19" t="inlineStr">
        <x:is>
          <x:t xml:space="preserve">U-018</x:t>
        </x:is>
      </x:c>
      <x:c r="B19" t="inlineStr">
        <x:is>
          <x:t xml:space="preserve">Docs/RAG</x:t>
        </x:is>
      </x:c>
      <x:c r="C19" t="inlineStr">
        <x:is>
          <x:t xml:space="preserve">Allowed LLM providers for sensitive data (OpenAI/Anthropic/on-prem)</x:t>
        </x:is>
      </x:c>
      <x:c r="D19" t="inlineStr">
        <x:is>
          <x:t xml:space="preserve">High</x:t>
        </x:is>
      </x:c>
      <x:c r="E19" t="inlineStr">
        <x:is>
          <x:t xml:space="preserve">25</x:t>
        </x:is>
      </x:c>
      <x:c r="F19" t="inlineStr">
        <x:is>
          <x:t xml:space="preserve">Policy decision</x:t>
        </x:is>
      </x:c>
      <x:c r="G19" t="inlineStr">
        <x:is>
          <x:t xml:space="preserve">Assume: run sensitive inference on approved provider; allow local models for Restricted</x:t>
        </x:is>
      </x:c>
      <x:c r="H19" t="inlineStr">
        <x:is>
          <x:t xml:space="preserve">Yes</x:t>
        </x:is>
      </x:c>
      <x:c r="I19" t="inlineStr">
        <x:is>
          <x:t xml:space="preserve">Compliance</x:t>
        </x:is>
      </x:c>
      <x:c r="J19" t="inlineStr">
        <x:is>
          <x:t xml:space="preserve">2025-12-22</x:t>
        </x:is>
      </x:c>
      <x:c r="K19" t="inlineStr">
        <x:is>
          <x:t xml:space="preserve">Critical.</x:t>
        </x:is>
      </x:c>
      <x:c r="L19" t="n">
        <x:v>225</x:v>
      </x:c>
      <x:c r="M19" t="inlineStr">
        <x:is>
          <x:t xml:space="preserve">Overdue</x:t>
        </x:is>
      </x:c>
      <x:c r="N19" t="inlineStr">
        <x:is>
          <x:t xml:space="preserve">T0</x:t>
        </x:is>
      </x:c>
      <x:c r="O19" t="inlineStr">
        <x:is>
          <x:t xml:space="preserve">2026-01-31</x:t>
        </x:is>
      </x:c>
      <x:c r="P19" t="inlineStr">
        <x:is>
          <x:t xml:space="preserve">Collect: Policy decision; capture decision in SOP; update RBAC/workflows.</x:t>
        </x:is>
      </x:c>
    </x:row>
    <x:row r="20">
      <x:c r="A20" t="inlineStr">
        <x:is>
          <x:t xml:space="preserve">U-019</x:t>
        </x:is>
      </x:c>
      <x:c r="B20" t="inlineStr">
        <x:is>
          <x:t xml:space="preserve">Ops</x:t>
        </x:is>
      </x:c>
      <x:c r="C20" t="inlineStr">
        <x:is>
          <x:t xml:space="preserve">Standard tender folder naming convention</x:t>
        </x:is>
      </x:c>
      <x:c r="D20" t="inlineStr">
        <x:is>
          <x:t xml:space="preserve">Med</x:t>
        </x:is>
      </x:c>
      <x:c r="E20" t="inlineStr">
        <x:is>
          <x:t xml:space="preserve">60</x:t>
        </x:is>
      </x:c>
      <x:c r="F20" t="inlineStr">
        <x:is>
          <x:t xml:space="preserve">Current folder examples</x:t>
        </x:is>
      </x:c>
      <x:c r="G20" t="inlineStr">
        <x:is>
          <x:t xml:space="preserve">Assume: {YEAR}-{CLIENT}-{TENDERREF}-{TITLE}</x:t>
        </x:is>
      </x:c>
      <x:c r="H20" t="inlineStr">
        <x:is>
          <x:t xml:space="preserve">Yes</x:t>
        </x:is>
      </x:c>
      <x:c r="I20" t="inlineStr">
        <x:is>
          <x:t xml:space="preserve">PMO</x:t>
        </x:is>
      </x:c>
      <x:c r="J20" t="inlineStr">
        <x:is>
          <x:t xml:space="preserve">2025-12-27</x:t>
        </x:is>
      </x:c>
      <x:c r="K20" t="inlineStr">
        <x:is>
          <x:t xml:space="preserve">Automation depends on this.</x:t>
        </x:is>
      </x:c>
      <x:c r="L20" t="n">
        <x:v>80</x:v>
      </x:c>
      <x:c r="M20" t="inlineStr">
        <x:is>
          <x:t xml:space="preserve">Overdue</x:t>
        </x:is>
      </x:c>
      <x:c r="N20" t="inlineStr">
        <x:is>
          <x:t xml:space="preserve">T2</x:t>
        </x:is>
      </x:c>
      <x:c r="O20" t="inlineStr">
        <x:is>
          <x:t xml:space="preserve">2026-02-21</x:t>
        </x:is>
      </x:c>
      <x:c r="P20" t="inlineStr">
        <x:is>
          <x:t xml:space="preserve">Collect: Current folder examples; capture decision in SOP; update RBAC/workflows.</x:t>
        </x:is>
      </x:c>
    </x:row>
    <x:row r="21">
      <x:c r="A21" t="inlineStr">
        <x:is>
          <x:t xml:space="preserve">U-020</x:t>
        </x:is>
      </x:c>
      <x:c r="B21" t="inlineStr">
        <x:is>
          <x:t xml:space="preserve">Ops</x:t>
        </x:is>
      </x:c>
      <x:c r="C21" t="inlineStr">
        <x:is>
          <x:t xml:space="preserve">Document versioning approach (v1/v2 vs git-like)</x:t>
        </x:is>
      </x:c>
      <x:c r="D21" t="inlineStr">
        <x:is>
          <x:t xml:space="preserve">Med</x:t>
        </x:is>
      </x:c>
      <x:c r="E21" t="inlineStr">
        <x:is>
          <x:t xml:space="preserve">55</x:t>
        </x:is>
      </x:c>
      <x:c r="F21" t="inlineStr">
        <x:is>
          <x:t xml:space="preserve">SOP</x:t>
        </x:is>
      </x:c>
      <x:c r="G21" t="inlineStr">
        <x:is>
          <x:t xml:space="preserve">Assume: semantic version + audit trail; keep originals immutable</x:t>
        </x:is>
      </x:c>
      <x:c r="H21" t="inlineStr">
        <x:is>
          <x:t xml:space="preserve">Yes</x:t>
        </x:is>
      </x:c>
      <x:c r="I21" t="inlineStr">
        <x:is>
          <x:t xml:space="preserve">QA/QC</x:t>
        </x:is>
      </x:c>
      <x:c r="J21" t="inlineStr">
        <x:is>
          <x:t xml:space="preserve">2025-12-27</x:t>
        </x:is>
      </x:c>
      <x:c r="K21" t="inlineStr">
        <x:is>
          <x:t xml:space="preserve">Avoid confusion.</x:t>
        </x:is>
      </x:c>
      <x:c r="L21" t="n">
        <x:v>90</x:v>
      </x:c>
      <x:c r="M21" t="inlineStr">
        <x:is>
          <x:t xml:space="preserve">Overdue</x:t>
        </x:is>
      </x:c>
      <x:c r="N21" t="inlineStr">
        <x:is>
          <x:t xml:space="preserve">T2</x:t>
        </x:is>
      </x:c>
      <x:c r="O21" t="inlineStr">
        <x:is>
          <x:t xml:space="preserve">2026-02-21</x:t>
        </x:is>
      </x:c>
      <x:c r="P21" t="inlineStr">
        <x:is>
          <x:t xml:space="preserve">Collect: SOP; capture decision in SOP; update RBAC/workflows.</x:t>
        </x:is>
      </x:c>
    </x:row>
    <x:row r="22">
      <x:c r="A22" t="inlineStr">
        <x:is>
          <x:t xml:space="preserve">U-021</x:t>
        </x:is>
      </x:c>
      <x:c r="B22" t="inlineStr">
        <x:is>
          <x:t xml:space="preserve">Ops</x:t>
        </x:is>
      </x:c>
      <x:c r="C22" t="inlineStr">
        <x:is>
          <x:t xml:space="preserve">Who owns tender templates today and approval authority for new ones</x:t>
        </x:is>
      </x:c>
      <x:c r="D22" t="inlineStr">
        <x:is>
          <x:t xml:space="preserve">High</x:t>
        </x:is>
      </x:c>
      <x:c r="E22" t="inlineStr">
        <x:is>
          <x:t xml:space="preserve">45</x:t>
        </x:is>
      </x:c>
      <x:c r="F22" t="inlineStr">
        <x:is>
          <x:t xml:space="preserve">Mgmt decision</x:t>
        </x:is>
      </x:c>
      <x:c r="G22" t="inlineStr">
        <x:is>
          <x:t xml:space="preserve">Assume: PMO owns; Dept heads approve; VP final</x:t>
        </x:is>
      </x:c>
      <x:c r="H22" t="inlineStr">
        <x:is>
          <x:t xml:space="preserve">Yes</x:t>
        </x:is>
      </x:c>
      <x:c r="I22" t="inlineStr">
        <x:is>
          <x:t xml:space="preserve">Management</x:t>
        </x:is>
      </x:c>
      <x:c r="J22" t="inlineStr">
        <x:is>
          <x:t xml:space="preserve">2025-12-27</x:t>
        </x:is>
      </x:c>
      <x:c r="K22" t="inlineStr">
        <x:is>
          <x:t xml:space="preserve">Template governance.</x:t>
        </x:is>
      </x:c>
      <x:c r="L22" t="n">
        <x:v>165</x:v>
      </x:c>
      <x:c r="M22" t="inlineStr">
        <x:is>
          <x:t xml:space="preserve">Overdue</x:t>
        </x:is>
      </x:c>
      <x:c r="N22" t="inlineStr">
        <x:is>
          <x:t xml:space="preserve">T1</x:t>
        </x:is>
      </x:c>
      <x:c r="O22" t="inlineStr">
        <x:is>
          <x:t xml:space="preserve">2026-02-07</x:t>
        </x:is>
      </x:c>
      <x:c r="P22" t="inlineStr">
        <x:is>
          <x:t xml:space="preserve">Collect: Mgmt decision; capture decision in SOP; update RBAC/workflows.</x:t>
        </x:is>
      </x:c>
    </x:row>
    <x:row r="23">
      <x:c r="A23" t="inlineStr">
        <x:is>
          <x:t xml:space="preserve">U-022</x:t>
        </x:is>
      </x:c>
      <x:c r="B23" t="inlineStr">
        <x:is>
          <x:t xml:space="preserve">Ops</x:t>
        </x:is>
      </x:c>
      <x:c r="C23" t="inlineStr">
        <x:is>
          <x:t xml:space="preserve">Required tender deliverables checklist varies by client?</x:t>
        </x:is>
      </x:c>
      <x:c r="D23" t="inlineStr">
        <x:is>
          <x:t xml:space="preserve">High</x:t>
        </x:is>
      </x:c>
      <x:c r="E23" t="inlineStr">
        <x:is>
          <x:t xml:space="preserve">50</x:t>
        </x:is>
      </x:c>
      <x:c r="F23" t="inlineStr">
        <x:is>
          <x:t xml:space="preserve">Past submissions</x:t>
        </x:is>
      </x:c>
      <x:c r="G23" t="inlineStr">
        <x:is>
          <x:t xml:space="preserve">Assume: base checklist + client overlays</x:t>
        </x:is>
      </x:c>
      <x:c r="H23" t="inlineStr">
        <x:is>
          <x:t xml:space="preserve">Yes</x:t>
        </x:is>
      </x:c>
      <x:c r="I23" t="inlineStr">
        <x:is>
          <x:t xml:space="preserve">PMO</x:t>
        </x:is>
      </x:c>
      <x:c r="J23" t="inlineStr">
        <x:is>
          <x:t xml:space="preserve">2025-12-27</x:t>
        </x:is>
      </x:c>
      <x:c r="K23" t="inlineStr">
        <x:is>
          <x:t xml:space="preserve">Model needs rules.</x:t>
        </x:is>
      </x:c>
      <x:c r="L23" t="n">
        <x:v>150</x:v>
      </x:c>
      <x:c r="M23" t="inlineStr">
        <x:is>
          <x:t xml:space="preserve">Overdue</x:t>
        </x:is>
      </x:c>
      <x:c r="N23" t="inlineStr">
        <x:is>
          <x:t xml:space="preserve">T1</x:t>
        </x:is>
      </x:c>
      <x:c r="O23" t="inlineStr">
        <x:is>
          <x:t xml:space="preserve">2026-02-07</x:t>
        </x:is>
      </x:c>
      <x:c r="P23" t="inlineStr">
        <x:is>
          <x:t xml:space="preserve">Collect: Past submissions; capture decision in SOP; update RBAC/workflows.</x:t>
        </x:is>
      </x:c>
    </x:row>
    <x:row r="24">
      <x:c r="A24" t="inlineStr">
        <x:is>
          <x:t xml:space="preserve">U-023</x:t>
        </x:is>
      </x:c>
      <x:c r="B24" t="inlineStr">
        <x:is>
          <x:t xml:space="preserve">Ops</x:t>
        </x:is>
      </x:c>
      <x:c r="C24" t="inlineStr">
        <x:is>
          <x:t xml:space="preserve">RFI process: who drafts, who approves, where logged</x:t>
        </x:is>
      </x:c>
      <x:c r="D24" t="inlineStr">
        <x:is>
          <x:t xml:space="preserve">High</x:t>
        </x:is>
      </x:c>
      <x:c r="E24" t="inlineStr">
        <x:is>
          <x:t xml:space="preserve">45</x:t>
        </x:is>
      </x:c>
      <x:c r="F24" t="inlineStr">
        <x:is>
          <x:t xml:space="preserve">Process map</x:t>
        </x:is>
      </x:c>
      <x:c r="G24" t="inlineStr">
        <x:is>
          <x:t xml:space="preserve">Assume: PMO drafts; discipline inputs; VP approves</x:t>
        </x:is>
      </x:c>
      <x:c r="H24" t="inlineStr">
        <x:is>
          <x:t xml:space="preserve">Yes</x:t>
        </x:is>
      </x:c>
      <x:c r="I24" t="inlineStr">
        <x:is>
          <x:t xml:space="preserve">PMO</x:t>
        </x:is>
      </x:c>
      <x:c r="J24" t="inlineStr">
        <x:is>
          <x:t xml:space="preserve">2025-12-27</x:t>
        </x:is>
      </x:c>
      <x:c r="K24" t="inlineStr">
        <x:is>
          <x:t xml:space="preserve">Automation scope.</x:t>
        </x:is>
      </x:c>
      <x:c r="L24" t="n">
        <x:v>165</x:v>
      </x:c>
      <x:c r="M24" t="inlineStr">
        <x:is>
          <x:t xml:space="preserve">Overdue</x:t>
        </x:is>
      </x:c>
      <x:c r="N24" t="inlineStr">
        <x:is>
          <x:t xml:space="preserve">T1</x:t>
        </x:is>
      </x:c>
      <x:c r="O24" t="inlineStr">
        <x:is>
          <x:t xml:space="preserve">2026-02-07</x:t>
        </x:is>
      </x:c>
      <x:c r="P24" t="inlineStr">
        <x:is>
          <x:t xml:space="preserve">Collect: Process map; capture decision in SOP; update RBAC/workflows.</x:t>
        </x:is>
      </x:c>
    </x:row>
    <x:row r="25">
      <x:c r="A25" t="inlineStr">
        <x:is>
          <x:t xml:space="preserve">U-024</x:t>
        </x:is>
      </x:c>
      <x:c r="B25" t="inlineStr">
        <x:is>
          <x:t xml:space="preserve">Projects</x:t>
        </x:is>
      </x:c>
      <x:c r="C25" t="inlineStr">
        <x:is>
          <x:t xml:space="preserve">DLP definition and tracking approach (some clients differ)</x:t>
        </x:is>
      </x:c>
      <x:c r="D25" t="inlineStr">
        <x:is>
          <x:t xml:space="preserve">Med</x:t>
        </x:is>
      </x:c>
      <x:c r="E25" t="inlineStr">
        <x:is>
          <x:t xml:space="preserve">55</x:t>
        </x:is>
      </x:c>
      <x:c r="F25" t="inlineStr">
        <x:is>
          <x:t xml:space="preserve">Contract examples</x:t>
        </x:is>
      </x:c>
      <x:c r="G25" t="inlineStr">
        <x:is>
          <x:t xml:space="preserve">Assume: DLP end date is contract-defined; store per project</x:t>
        </x:is>
      </x:c>
      <x:c r="H25" t="inlineStr">
        <x:is>
          <x:t xml:space="preserve">Yes</x:t>
        </x:is>
      </x:c>
      <x:c r="I25" t="inlineStr">
        <x:is>
          <x:t xml:space="preserve">PMO</x:t>
        </x:is>
      </x:c>
      <x:c r="J25" t="inlineStr">
        <x:is>
          <x:t xml:space="preserve">2025-12-27</x:t>
        </x:is>
      </x:c>
      <x:c r="K25" t="inlineStr">
        <x:is>
          <x:t xml:space="preserve">Tracker must handle.</x:t>
        </x:is>
      </x:c>
      <x:c r="L25" t="n">
        <x:v>90</x:v>
      </x:c>
      <x:c r="M25" t="inlineStr">
        <x:is>
          <x:t xml:space="preserve">Overdue</x:t>
        </x:is>
      </x:c>
      <x:c r="N25" t="inlineStr">
        <x:is>
          <x:t xml:space="preserve">T2</x:t>
        </x:is>
      </x:c>
      <x:c r="O25" t="inlineStr">
        <x:is>
          <x:t xml:space="preserve">2026-02-21</x:t>
        </x:is>
      </x:c>
      <x:c r="P25" t="inlineStr">
        <x:is>
          <x:t xml:space="preserve">Collect: Contract examples; capture decision in SOP; update RBAC/workflows.</x:t>
        </x:is>
      </x:c>
    </x:row>
    <x:row r="26">
      <x:c r="A26" t="inlineStr">
        <x:is>
          <x:t xml:space="preserve">U-025</x:t>
        </x:is>
      </x:c>
      <x:c r="B26" t="inlineStr">
        <x:is>
          <x:t xml:space="preserve">Projects</x:t>
        </x:is>
      </x:c>
      <x:c r="C26" t="inlineStr">
        <x:is>
          <x:t xml:space="preserve">Milestone taxonomy: approvals, submissions, inspections, permits</x:t>
        </x:is>
      </x:c>
      <x:c r="D26" t="inlineStr">
        <x:is>
          <x:t xml:space="preserve">High</x:t>
        </x:is>
      </x:c>
      <x:c r="E26" t="inlineStr">
        <x:is>
          <x:t xml:space="preserve">45</x:t>
        </x:is>
      </x:c>
      <x:c r="F26" t="inlineStr">
        <x:is>
          <x:t xml:space="preserve">Sample schedules</x:t>
        </x:is>
      </x:c>
      <x:c r="G26" t="inlineStr">
        <x:is>
          <x:t xml:space="preserve">Assume: milestone types list with required fields + owners</x:t>
        </x:is>
      </x:c>
      <x:c r="H26" t="inlineStr">
        <x:is>
          <x:t xml:space="preserve">Yes</x:t>
        </x:is>
      </x:c>
      <x:c r="I26" t="inlineStr">
        <x:is>
          <x:t xml:space="preserve">PMO</x:t>
        </x:is>
      </x:c>
      <x:c r="J26" t="inlineStr">
        <x:is>
          <x:t xml:space="preserve">2025-12-27</x:t>
        </x:is>
      </x:c>
      <x:c r="K26" t="inlineStr">
        <x:is>
          <x:t xml:space="preserve">Alert engine input.</x:t>
        </x:is>
      </x:c>
      <x:c r="L26" t="n">
        <x:v>165</x:v>
      </x:c>
      <x:c r="M26" t="inlineStr">
        <x:is>
          <x:t xml:space="preserve">Overdue</x:t>
        </x:is>
      </x:c>
      <x:c r="N26" t="inlineStr">
        <x:is>
          <x:t xml:space="preserve">T1</x:t>
        </x:is>
      </x:c>
      <x:c r="O26" t="inlineStr">
        <x:is>
          <x:t xml:space="preserve">2026-02-07</x:t>
        </x:is>
      </x:c>
      <x:c r="P26" t="inlineStr">
        <x:is>
          <x:t xml:space="preserve">Collect: Sample schedules; capture decision in SOP; update RBAC/workflows.</x:t>
        </x:is>
      </x:c>
    </x:row>
    <x:row r="27">
      <x:c r="A27" t="inlineStr">
        <x:is>
          <x:t xml:space="preserve">U-026</x:t>
        </x:is>
      </x:c>
      <x:c r="B27" t="inlineStr">
        <x:is>
          <x:t xml:space="preserve">Security</x:t>
        </x:is>
      </x:c>
      <x:c r="C27" t="inlineStr">
        <x:is>
          <x:t xml:space="preserve">Audit log retention period requirement</x:t>
        </x:is>
      </x:c>
      <x:c r="D27" t="inlineStr">
        <x:is>
          <x:t xml:space="preserve">High</x:t>
        </x:is>
      </x:c>
      <x:c r="E27" t="inlineStr">
        <x:is>
          <x:t xml:space="preserve">35</x:t>
        </x:is>
      </x:c>
      <x:c r="F27" t="inlineStr">
        <x:is>
          <x:t xml:space="preserve">IT/Compliance requirement</x:t>
        </x:is>
      </x:c>
      <x:c r="G27" t="inlineStr">
        <x:is>
          <x:t xml:space="preserve">Assume: 5 years retention with tamper-evident storage</x:t>
        </x:is>
      </x:c>
      <x:c r="H27" t="inlineStr">
        <x:is>
          <x:t xml:space="preserve">Yes</x:t>
        </x:is>
      </x:c>
      <x:c r="I27" t="inlineStr">
        <x:is>
          <x:t xml:space="preserve">Compliance</x:t>
        </x:is>
      </x:c>
      <x:c r="J27" t="inlineStr">
        <x:is>
          <x:t xml:space="preserve">2025-12-27</x:t>
        </x:is>
      </x:c>
      <x:c r="K27" t="inlineStr">
        <x:is>
          <x:t xml:space="preserve">Compliance.</x:t>
        </x:is>
      </x:c>
      <x:c r="L27" t="n">
        <x:v>195</x:v>
      </x:c>
      <x:c r="M27" t="inlineStr">
        <x:is>
          <x:t xml:space="preserve">Overdue</x:t>
        </x:is>
      </x:c>
      <x:c r="N27" t="inlineStr">
        <x:is>
          <x:t xml:space="preserve">T0</x:t>
        </x:is>
      </x:c>
      <x:c r="O27" t="inlineStr">
        <x:is>
          <x:t xml:space="preserve">2026-01-31</x:t>
        </x:is>
      </x:c>
      <x:c r="P27" t="inlineStr">
        <x:is>
          <x:t xml:space="preserve">Collect: IT/Compliance requirement; capture decision in SOP; update RBAC/workflows.</x:t>
        </x:is>
      </x:c>
    </x:row>
    <x:row r="28">
      <x:c r="A28" t="inlineStr">
        <x:is>
          <x:t xml:space="preserve">U-027</x:t>
        </x:is>
      </x:c>
      <x:c r="B28" t="inlineStr">
        <x:is>
          <x:t xml:space="preserve">Security</x:t>
        </x:is>
      </x:c>
      <x:c r="C28" t="inlineStr">
        <x:is>
          <x:t xml:space="preserve">MFA requirement for admin roles</x:t>
        </x:is>
      </x:c>
      <x:c r="D28" t="inlineStr">
        <x:is>
          <x:t xml:space="preserve">High</x:t>
        </x:is>
      </x:c>
      <x:c r="E28" t="inlineStr">
        <x:is>
          <x:t xml:space="preserve">60</x:t>
        </x:is>
      </x:c>
      <x:c r="F28" t="inlineStr">
        <x:is>
          <x:t xml:space="preserve">Policy decision</x:t>
        </x:is>
      </x:c>
      <x:c r="G28" t="inlineStr">
        <x:is>
          <x:t xml:space="preserve">Assume: MFA mandatory for Super Admin/Management</x:t>
        </x:is>
      </x:c>
      <x:c r="H28" t="inlineStr">
        <x:is>
          <x:t xml:space="preserve">Yes</x:t>
        </x:is>
      </x:c>
      <x:c r="I28" t="inlineStr">
        <x:is>
          <x:t xml:space="preserve">IT Lead</x:t>
        </x:is>
      </x:c>
      <x:c r="J28" t="inlineStr">
        <x:is>
          <x:t xml:space="preserve">2025-12-27</x:t>
        </x:is>
      </x:c>
      <x:c r="K28" t="inlineStr">
        <x:is>
          <x:t xml:space="preserve">Hardening.</x:t>
        </x:is>
      </x:c>
      <x:c r="L28" t="n">
        <x:v>120</x:v>
      </x:c>
      <x:c r="M28" t="inlineStr">
        <x:is>
          <x:t xml:space="preserve">Overdue</x:t>
        </x:is>
      </x:c>
      <x:c r="N28" t="inlineStr">
        <x:is>
          <x:t xml:space="preserve">T0</x:t>
        </x:is>
      </x:c>
      <x:c r="O28" t="inlineStr">
        <x:is>
          <x:t xml:space="preserve">2026-01-31</x:t>
        </x:is>
      </x:c>
      <x:c r="P28" t="inlineStr">
        <x:is>
          <x:t xml:space="preserve">Collect: Policy decision; capture decision in SOP; update RBAC/workflows.</x:t>
        </x:is>
      </x:c>
    </x:row>
    <x:row r="29">
      <x:c r="A29" t="inlineStr">
        <x:is>
          <x:t xml:space="preserve">U-028</x:t>
        </x:is>
      </x:c>
      <x:c r="B29" t="inlineStr">
        <x:is>
          <x:t xml:space="preserve">Security</x:t>
        </x:is>
      </x:c>
      <x:c r="C29" t="inlineStr">
        <x:is>
          <x:t xml:space="preserve">External sharing policy (subconsultants)</x:t>
        </x:is>
      </x:c>
      <x:c r="D29" t="inlineStr">
        <x:is>
          <x:t xml:space="preserve">High</x:t>
        </x:is>
      </x:c>
      <x:c r="E29" t="inlineStr">
        <x:is>
          <x:t xml:space="preserve">40</x:t>
        </x:is>
      </x:c>
      <x:c r="F29" t="inlineStr">
        <x:is>
          <x:t xml:space="preserve">SOP</x:t>
        </x:is>
      </x:c>
      <x:c r="G29" t="inlineStr">
        <x:is>
          <x:t xml:space="preserve">Assume: time-bound links + watermark + NDA flag</x:t>
        </x:is>
      </x:c>
      <x:c r="H29" t="inlineStr">
        <x:is>
          <x:t xml:space="preserve">Yes</x:t>
        </x:is>
      </x:c>
      <x:c r="I29" t="inlineStr">
        <x:is>
          <x:t xml:space="preserve">Management</x:t>
        </x:is>
      </x:c>
      <x:c r="J29" t="inlineStr">
        <x:is>
          <x:t xml:space="preserve">2025-12-27</x:t>
        </x:is>
      </x:c>
      <x:c r="K29" t="inlineStr">
        <x:is>
          <x:t xml:space="preserve">Doc sharing.</x:t>
        </x:is>
      </x:c>
      <x:c r="L29" t="n">
        <x:v>180</x:v>
      </x:c>
      <x:c r="M29" t="inlineStr">
        <x:is>
          <x:t xml:space="preserve">Overdue</x:t>
        </x:is>
      </x:c>
      <x:c r="N29" t="inlineStr">
        <x:is>
          <x:t xml:space="preserve">T0</x:t>
        </x:is>
      </x:c>
      <x:c r="O29" t="inlineStr">
        <x:is>
          <x:t xml:space="preserve">2026-01-31</x:t>
        </x:is>
      </x:c>
      <x:c r="P29" t="inlineStr">
        <x:is>
          <x:t xml:space="preserve">Collect: SOP; capture decision in SOP; update RBAC/workflows.</x:t>
        </x:is>
      </x:c>
    </x:row>
    <x:row r="30">
      <x:c r="A30" t="inlineStr">
        <x:is>
          <x:t xml:space="preserve">U-029</x:t>
        </x:is>
      </x:c>
      <x:c r="B30" t="inlineStr">
        <x:is>
          <x:t xml:space="preserve">Integrations</x:t>
        </x:is>
      </x:c>
      <x:c r="C30" t="inlineStr">
        <x:is>
          <x:t xml:space="preserve">Teams/SharePoint vs file server: primary document store</x:t>
        </x:is>
      </x:c>
      <x:c r="D30" t="inlineStr">
        <x:is>
          <x:t xml:space="preserve">High</x:t>
        </x:is>
      </x:c>
      <x:c r="E30" t="inlineStr">
        <x:is>
          <x:t xml:space="preserve">35</x:t>
        </x:is>
      </x:c>
      <x:c r="F30" t="inlineStr">
        <x:is>
          <x:t xml:space="preserve">IT decision</x:t>
        </x:is>
      </x:c>
      <x:c r="G30" t="inlineStr">
        <x:is>
          <x:t xml:space="preserve">Assume: SharePoint/OneDrive as primary if available</x:t>
        </x:is>
      </x:c>
      <x:c r="H30" t="inlineStr">
        <x:is>
          <x:t xml:space="preserve">Yes</x:t>
        </x:is>
      </x:c>
      <x:c r="I30" t="inlineStr">
        <x:is>
          <x:t xml:space="preserve">IT Lead</x:t>
        </x:is>
      </x:c>
      <x:c r="J30" t="inlineStr">
        <x:is>
          <x:t xml:space="preserve">2025-12-22</x:t>
        </x:is>
      </x:c>
      <x:c r="K30" t="inlineStr">
        <x:is>
          <x:t xml:space="preserve">Impacts storage APIs.</x:t>
        </x:is>
      </x:c>
      <x:c r="L30" t="n">
        <x:v>195</x:v>
      </x:c>
      <x:c r="M30" t="inlineStr">
        <x:is>
          <x:t xml:space="preserve">Overdue</x:t>
        </x:is>
      </x:c>
      <x:c r="N30" t="inlineStr">
        <x:is>
          <x:t xml:space="preserve">T0</x:t>
        </x:is>
      </x:c>
      <x:c r="O30" t="inlineStr">
        <x:is>
          <x:t xml:space="preserve">2026-01-31</x:t>
        </x:is>
      </x:c>
      <x:c r="P30" t="inlineStr">
        <x:is>
          <x:t xml:space="preserve">Collect: IT decision; capture decision in SOP; update RBAC/workflows.</x:t>
        </x:is>
      </x:c>
    </x:row>
    <x:row r="31">
      <x:c r="A31" t="inlineStr">
        <x:is>
          <x:t xml:space="preserve">U-030</x:t>
        </x:is>
      </x:c>
      <x:c r="B31" t="inlineStr">
        <x:is>
          <x:t xml:space="preserve">Integrations</x:t>
        </x:is>
      </x:c>
      <x:c r="C31" t="inlineStr">
        <x:is>
          <x:t xml:space="preserve">Tender portal list (ADAFSA, DOH, etc.) + access method</x:t>
        </x:is>
      </x:c>
      <x:c r="D31" t="inlineStr">
        <x:is>
          <x:t xml:space="preserve">Med</x:t>
        </x:is>
      </x:c>
      <x:c r="E31" t="inlineStr">
        <x:is>
          <x:t xml:space="preserve">45</x:t>
        </x:is>
      </x:c>
      <x:c r="F31" t="inlineStr">
        <x:is>
          <x:t xml:space="preserve">Portal list</x:t>
        </x:is>
      </x:c>
      <x:c r="G31" t="inlineStr">
        <x:is>
          <x:t xml:space="preserve">Assume: manual portal interaction; log only in MVP</x:t>
        </x:is>
      </x:c>
      <x:c r="H31" t="inlineStr">
        <x:is>
          <x:t xml:space="preserve">Yes</x:t>
        </x:is>
      </x:c>
      <x:c r="I31" t="inlineStr">
        <x:is>
          <x:t xml:space="preserve">BD</x:t>
        </x:is>
      </x:c>
      <x:c r="J31" t="inlineStr">
        <x:is>
          <x:t xml:space="preserve">2025-12-27</x:t>
        </x:is>
      </x:c>
      <x:c r="K31" t="inlineStr">
        <x:is>
          <x:t xml:space="preserve">Future automation.</x:t>
        </x:is>
      </x:c>
      <x:c r="L31" t="n">
        <x:v>110</x:v>
      </x:c>
      <x:c r="M31" t="inlineStr">
        <x:is>
          <x:t xml:space="preserve">Overdue</x:t>
        </x:is>
      </x:c>
      <x:c r="N31" t="inlineStr">
        <x:is>
          <x:t xml:space="preserve">T0</x:t>
        </x:is>
      </x:c>
      <x:c r="O31" t="inlineStr">
        <x:is>
          <x:t xml:space="preserve">2026-01-31</x:t>
        </x:is>
      </x:c>
      <x:c r="P31" t="inlineStr">
        <x:is>
          <x:t xml:space="preserve">Collect: Portal list; capture decision in SOP; update RBAC/workflows.</x:t>
        </x:is>
      </x:c>
    </x:row>
    <x:row r="32">
      <x:c r="A32" t="inlineStr">
        <x:is>
          <x:t xml:space="preserve">U-031</x:t>
        </x:is>
      </x:c>
      <x:c r="B32" t="inlineStr">
        <x:is>
          <x:t xml:space="preserve">Performance</x:t>
        </x:is>
      </x:c>
      <x:c r="C32" t="inlineStr">
        <x:is>
          <x:t xml:space="preserve">Target max time to generate tender summary report</x:t>
        </x:is>
      </x:c>
      <x:c r="D32" t="inlineStr">
        <x:is>
          <x:t xml:space="preserve">Med</x:t>
        </x:is>
      </x:c>
      <x:c r="E32" t="inlineStr">
        <x:is>
          <x:t xml:space="preserve">55</x:t>
        </x:is>
      </x:c>
      <x:c r="F32" t="inlineStr">
        <x:is>
          <x:t xml:space="preserve">Mgmt expectation</x:t>
        </x:is>
      </x:c>
      <x:c r="G32" t="inlineStr">
        <x:is>
          <x:t xml:space="preserve">Assume: &lt;10 min for typical pack; &lt;30 min for large</x:t>
        </x:is>
      </x:c>
      <x:c r="H32" t="inlineStr">
        <x:is>
          <x:t xml:space="preserve">Yes</x:t>
        </x:is>
      </x:c>
      <x:c r="I32" t="inlineStr">
        <x:is>
          <x:t xml:space="preserve">Management</x:t>
        </x:is>
      </x:c>
      <x:c r="J32" t="inlineStr">
        <x:is>
          <x:t xml:space="preserve">2025-12-27</x:t>
        </x:is>
      </x:c>
      <x:c r="K32" t="inlineStr">
        <x:is>
          <x:t xml:space="preserve">NFR.</x:t>
        </x:is>
      </x:c>
      <x:c r="L32" t="n">
        <x:v>90</x:v>
      </x:c>
      <x:c r="M32" t="inlineStr">
        <x:is>
          <x:t xml:space="preserve">Overdue</x:t>
        </x:is>
      </x:c>
      <x:c r="N32" t="inlineStr">
        <x:is>
          <x:t xml:space="preserve">T2</x:t>
        </x:is>
      </x:c>
      <x:c r="O32" t="inlineStr">
        <x:is>
          <x:t xml:space="preserve">2026-02-21</x:t>
        </x:is>
      </x:c>
      <x:c r="P32" t="inlineStr">
        <x:is>
          <x:t xml:space="preserve">Collect: Mgmt expectation; capture decision in SOP; update RBAC/workflows.</x:t>
        </x:is>
      </x:c>
    </x:row>
    <x:row r="33">
      <x:c r="A33" t="inlineStr">
        <x:is>
          <x:t xml:space="preserve">U-032</x:t>
        </x:is>
      </x:c>
      <x:c r="B33" t="inlineStr">
        <x:is>
          <x:t xml:space="preserve">Performance</x:t>
        </x:is>
      </x:c>
      <x:c r="C33" t="inlineStr">
        <x:is>
          <x:t xml:space="preserve">Max document size for upload (zip/pdf)</x:t>
        </x:is>
      </x:c>
      <x:c r="D33" t="inlineStr">
        <x:is>
          <x:t xml:space="preserve">Med</x:t>
        </x:is>
      </x:c>
      <x:c r="E33" t="inlineStr">
        <x:is>
          <x:t xml:space="preserve">60</x:t>
        </x:is>
      </x:c>
      <x:c r="F33" t="inlineStr">
        <x:is>
          <x:t xml:space="preserve">IT constraints</x:t>
        </x:is>
      </x:c>
      <x:c r="G33" t="inlineStr">
        <x:is>
          <x:t xml:space="preserve">Assume: 500MB per tender pack for MVP</x:t>
        </x:is>
      </x:c>
      <x:c r="H33" t="inlineStr">
        <x:is>
          <x:t xml:space="preserve">No</x:t>
        </x:is>
      </x:c>
      <x:c r="I33" t="inlineStr">
        <x:is>
          <x:t xml:space="preserve">Engineering</x:t>
        </x:is>
      </x:c>
      <x:c r="J33" t="inlineStr">
        <x:is>
          <x:t xml:space="preserve">2025-12-27</x:t>
        </x:is>
      </x:c>
      <x:c r="K33" t="inlineStr">
        <x:is>
          <x:t xml:space="preserve">Tune later.</x:t>
        </x:is>
      </x:c>
      <x:c r="L33" t="n">
        <x:v>80</x:v>
      </x:c>
      <x:c r="M33" t="inlineStr">
        <x:is>
          <x:t xml:space="preserve">Overdue</x:t>
        </x:is>
      </x:c>
      <x:c r="N33" t="inlineStr">
        <x:is>
          <x:t xml:space="preserve">T2</x:t>
        </x:is>
      </x:c>
      <x:c r="O33" t="inlineStr">
        <x:is>
          <x:t xml:space="preserve">2026-02-21</x:t>
        </x:is>
      </x:c>
      <x:c r="P33" t="inlineStr">
        <x:is>
          <x:t xml:space="preserve">Collect: IT constraints; capture decision in SOP; update RBAC/workflows.</x:t>
        </x:is>
      </x:c>
    </x:row>
    <x:row r="34">
      <x:c r="A34" t="inlineStr">
        <x:is>
          <x:t xml:space="preserve">U-033</x:t>
        </x:is>
      </x:c>
      <x:c r="B34" t="inlineStr">
        <x:is>
          <x:t xml:space="preserve">UI/UX</x:t>
        </x:is>
      </x:c>
      <x:c r="C34" t="inlineStr">
        <x:is>
          <x:t xml:space="preserve">Required views: table vs kanban vs calendar vs Gantt</x:t>
        </x:is>
      </x:c>
      <x:c r="D34" t="inlineStr">
        <x:is>
          <x:t xml:space="preserve">Med</x:t>
        </x:is>
      </x:c>
      <x:c r="E34" t="inlineStr">
        <x:is>
          <x:t xml:space="preserve">55</x:t>
        </x:is>
      </x:c>
      <x:c r="F34" t="inlineStr">
        <x:is>
          <x:t xml:space="preserve">User feedback</x:t>
        </x:is>
      </x:c>
      <x:c r="G34" t="inlineStr">
        <x:is>
          <x:t xml:space="preserve">Assume: table+kanban for tenders; table+timeline for projects</x:t>
        </x:is>
      </x:c>
      <x:c r="H34" t="inlineStr">
        <x:is>
          <x:t xml:space="preserve">Yes</x:t>
        </x:is>
      </x:c>
      <x:c r="I34" t="inlineStr">
        <x:is>
          <x:t xml:space="preserve">Moe</x:t>
        </x:is>
      </x:c>
      <x:c r="J34" t="inlineStr">
        <x:is>
          <x:t xml:space="preserve">2025-12-27</x:t>
        </x:is>
      </x:c>
      <x:c r="K34" t="inlineStr">
        <x:is>
          <x:t xml:space="preserve">MVP UX.</x:t>
        </x:is>
      </x:c>
      <x:c r="L34" t="n">
        <x:v>90</x:v>
      </x:c>
      <x:c r="M34" t="inlineStr">
        <x:is>
          <x:t xml:space="preserve">Overdue</x:t>
        </x:is>
      </x:c>
      <x:c r="N34" t="inlineStr">
        <x:is>
          <x:t xml:space="preserve">T2</x:t>
        </x:is>
      </x:c>
      <x:c r="O34" t="inlineStr">
        <x:is>
          <x:t xml:space="preserve">2026-02-21</x:t>
        </x:is>
      </x:c>
      <x:c r="P34" t="inlineStr">
        <x:is>
          <x:t xml:space="preserve">Collect: User feedback; capture decision in SOP; update RBAC/workflows.</x:t>
        </x:is>
      </x:c>
    </x:row>
    <x:row r="35">
      <x:c r="A35" t="inlineStr">
        <x:is>
          <x:t xml:space="preserve">U-034</x:t>
        </x:is>
      </x:c>
      <x:c r="B35" t="inlineStr">
        <x:is>
          <x:t xml:space="preserve">UI/UX</x:t>
        </x:is>
      </x:c>
      <x:c r="C35" t="inlineStr">
        <x:is>
          <x:t xml:space="preserve">Mobile requirements (view-only vs full)</x:t>
        </x:is>
      </x:c>
      <x:c r="D35" t="inlineStr">
        <x:is>
          <x:t xml:space="preserve">Low</x:t>
        </x:is>
      </x:c>
      <x:c r="E35" t="inlineStr">
        <x:is>
          <x:t xml:space="preserve">45</x:t>
        </x:is>
      </x:c>
      <x:c r="F35" t="inlineStr">
        <x:is>
          <x:t xml:space="preserve">Mgmt decision</x:t>
        </x:is>
      </x:c>
      <x:c r="G35" t="inlineStr">
        <x:is>
          <x:t xml:space="preserve">Assume: responsive web; mobile later</x:t>
        </x:is>
      </x:c>
      <x:c r="H35" t="inlineStr">
        <x:is>
          <x:t xml:space="preserve">No</x:t>
        </x:is>
      </x:c>
      <x:c r="I35" t="inlineStr">
        <x:is>
          <x:t xml:space="preserve">Management</x:t>
        </x:is>
      </x:c>
      <x:c r="J35" t="inlineStr">
        <x:is>
          <x:t xml:space="preserve">2025-12-27</x:t>
        </x:is>
      </x:c>
      <x:c r="K35" t="inlineStr">
        <x:is>
          <x:t xml:space="preserve">Defer.</x:t>
        </x:is>
      </x:c>
      <x:c r="L35" t="n">
        <x:v>55</x:v>
      </x:c>
      <x:c r="M35" t="inlineStr">
        <x:is>
          <x:t xml:space="preserve">Overdue</x:t>
        </x:is>
      </x:c>
      <x:c r="N35" t="inlineStr">
        <x:is>
          <x:t xml:space="preserve">T2</x:t>
        </x:is>
      </x:c>
      <x:c r="O35" t="inlineStr">
        <x:is>
          <x:t xml:space="preserve">2026-02-21</x:t>
        </x:is>
      </x:c>
      <x:c r="P35" t="inlineStr">
        <x:is>
          <x:t xml:space="preserve">Collect: Mgmt decision; capture decision in SOP; update RBAC/workflows.</x:t>
        </x:is>
      </x:c>
    </x:row>
    <x:row r="36">
      <x:c r="A36" t="inlineStr">
        <x:is>
          <x:t xml:space="preserve">U-035</x:t>
        </x:is>
      </x:c>
      <x:c r="B36" t="inlineStr">
        <x:is>
          <x:t xml:space="preserve">Data</x:t>
        </x:is>
      </x:c>
      <x:c r="C36" t="inlineStr">
        <x:is>
          <x:t xml:space="preserve">Unique IDs: project_code and tender_code format + constraints</x:t>
        </x:is>
      </x:c>
      <x:c r="D36" t="inlineStr">
        <x:is>
          <x:t xml:space="preserve">High</x:t>
        </x:is>
      </x:c>
      <x:c r="E36" t="inlineStr">
        <x:is>
          <x:t xml:space="preserve">55</x:t>
        </x:is>
      </x:c>
      <x:c r="F36" t="inlineStr">
        <x:is>
          <x:t xml:space="preserve">Existing codes</x:t>
        </x:is>
      </x:c>
      <x:c r="G36" t="inlineStr">
        <x:is>
          <x:t xml:space="preserve">Assume: preserve existing; create mapping for imports</x:t>
        </x:is>
      </x:c>
      <x:c r="H36" t="inlineStr">
        <x:is>
          <x:t xml:space="preserve">Yes</x:t>
        </x:is>
      </x:c>
      <x:c r="I36" t="inlineStr">
        <x:is>
          <x:t xml:space="preserve">PMO</x:t>
        </x:is>
      </x:c>
      <x:c r="J36" t="inlineStr">
        <x:is>
          <x:t xml:space="preserve">2025-12-27</x:t>
        </x:is>
      </x:c>
      <x:c r="K36" t="inlineStr">
        <x:is>
          <x:t xml:space="preserve">Import success.</x:t>
        </x:is>
      </x:c>
      <x:c r="L36" t="n">
        <x:v>135</x:v>
      </x:c>
      <x:c r="M36" t="inlineStr">
        <x:is>
          <x:t xml:space="preserve">Overdue</x:t>
        </x:is>
      </x:c>
      <x:c r="N36" t="inlineStr">
        <x:is>
          <x:t xml:space="preserve">T2</x:t>
        </x:is>
      </x:c>
      <x:c r="O36" t="inlineStr">
        <x:is>
          <x:t xml:space="preserve">2026-02-21</x:t>
        </x:is>
      </x:c>
      <x:c r="P36" t="inlineStr">
        <x:is>
          <x:t xml:space="preserve">Collect: Existing codes; capture decision in SOP; update RBAC/workflows.</x:t>
        </x:is>
      </x:c>
    </x:row>
    <x:row r="37">
      <x:c r="A37" t="inlineStr">
        <x:is>
          <x:t xml:space="preserve">U-036</x:t>
        </x:is>
      </x:c>
      <x:c r="B37" t="inlineStr">
        <x:is>
          <x:t xml:space="preserve">Data</x:t>
        </x:is>
      </x:c>
      <x:c r="C37" t="inlineStr">
        <x:is>
          <x:t xml:space="preserve">Required fields for tender follow-up log</x:t>
        </x:is>
      </x:c>
      <x:c r="D37" t="inlineStr">
        <x:is>
          <x:t xml:space="preserve">Med</x:t>
        </x:is>
      </x:c>
      <x:c r="E37" t="inlineStr">
        <x:is>
          <x:t xml:space="preserve">60</x:t>
        </x:is>
      </x:c>
      <x:c r="F37" t="inlineStr">
        <x:is>
          <x:t xml:space="preserve">Example log</x:t>
        </x:is>
      </x:c>
      <x:c r="G37" t="inlineStr">
        <x:is>
          <x:t xml:space="preserve">Assume: who contacted, channel, outcome, next date, attachments</x:t>
        </x:is>
      </x:c>
      <x:c r="H37" t="inlineStr">
        <x:is>
          <x:t xml:space="preserve">Yes</x:t>
        </x:is>
      </x:c>
      <x:c r="I37" t="inlineStr">
        <x:is>
          <x:t xml:space="preserve">BD</x:t>
        </x:is>
      </x:c>
      <x:c r="J37" t="inlineStr">
        <x:is>
          <x:t xml:space="preserve">2025-12-27</x:t>
        </x:is>
      </x:c>
      <x:c r="K37" t="inlineStr">
        <x:is>
          <x:t xml:space="preserve">Quick win feature.</x:t>
        </x:is>
      </x:c>
      <x:c r="L37" t="n">
        <x:v>80</x:v>
      </x:c>
      <x:c r="M37" t="inlineStr">
        <x:is>
          <x:t xml:space="preserve">Overdue</x:t>
        </x:is>
      </x:c>
      <x:c r="N37" t="inlineStr">
        <x:is>
          <x:t xml:space="preserve">T2</x:t>
        </x:is>
      </x:c>
      <x:c r="O37" t="inlineStr">
        <x:is>
          <x:t xml:space="preserve">2026-02-21</x:t>
        </x:is>
      </x:c>
      <x:c r="P37" t="inlineStr">
        <x:is>
          <x:t xml:space="preserve">Collect: Example log; capture decision in SOP; update RBAC/workflows.</x:t>
        </x:is>
      </x:c>
    </x:row>
    <x:row r="38">
      <x:c r="A38" t="inlineStr">
        <x:is>
          <x:t xml:space="preserve">U-037</x:t>
        </x:is>
      </x:c>
      <x:c r="B38" t="inlineStr">
        <x:is>
          <x:t xml:space="preserve">Finance</x:t>
        </x:is>
      </x:c>
      <x:c r="C38" t="inlineStr">
        <x:is>
          <x:t xml:space="preserve">Commercial confidentiality boundary between Finance and Engineering</x:t>
        </x:is>
      </x:c>
      <x:c r="D38" t="inlineStr">
        <x:is>
          <x:t xml:space="preserve">High</x:t>
        </x:is>
      </x:c>
      <x:c r="E38" t="inlineStr">
        <x:is>
          <x:t xml:space="preserve">40</x:t>
        </x:is>
      </x:c>
      <x:c r="F38" t="inlineStr">
        <x:is>
          <x:t xml:space="preserve">Policy decision</x:t>
        </x:is>
      </x:c>
      <x:c r="G38" t="inlineStr">
        <x:is>
          <x:t xml:space="preserve">Assume: engineering sees high-level fee totals only; finance sees breakdown</x:t>
        </x:is>
      </x:c>
      <x:c r="H38" t="inlineStr">
        <x:is>
          <x:t xml:space="preserve">Yes</x:t>
        </x:is>
      </x:c>
      <x:c r="I38" t="inlineStr">
        <x:is>
          <x:t xml:space="preserve">Management</x:t>
        </x:is>
      </x:c>
      <x:c r="J38" t="inlineStr">
        <x:is>
          <x:t xml:space="preserve">2025-12-27</x:t>
        </x:is>
      </x:c>
      <x:c r="K38" t="inlineStr">
        <x:is>
          <x:t xml:space="preserve">RBAC.</x:t>
        </x:is>
      </x:c>
      <x:c r="L38" t="n">
        <x:v>180</x:v>
      </x:c>
      <x:c r="M38" t="inlineStr">
        <x:is>
          <x:t xml:space="preserve">Overdue</x:t>
        </x:is>
      </x:c>
      <x:c r="N38" t="inlineStr">
        <x:is>
          <x:t xml:space="preserve">T1</x:t>
        </x:is>
      </x:c>
      <x:c r="O38" t="inlineStr">
        <x:is>
          <x:t xml:space="preserve">2026-02-07</x:t>
        </x:is>
      </x:c>
      <x:c r="P38" t="inlineStr">
        <x:is>
          <x:t xml:space="preserve">Collect: Policy decision; capture decision in SOP; update RBAC/workflows.</x:t>
        </x:is>
      </x:c>
    </x:row>
    <x:row r="39">
      <x:c r="A39" t="inlineStr">
        <x:is>
          <x:t xml:space="preserve">U-038</x:t>
        </x:is>
      </x:c>
      <x:c r="B39" t="inlineStr">
        <x:is>
          <x:t xml:space="preserve">HR</x:t>
        </x:is>
      </x:c>
      <x:c r="C39" t="inlineStr">
        <x:is>
          <x:t xml:space="preserve">Timesheets expectation: do we track time per task?</x:t>
        </x:is>
      </x:c>
      <x:c r="D39" t="inlineStr">
        <x:is>
          <x:t xml:space="preserve">Med</x:t>
        </x:is>
      </x:c>
      <x:c r="E39" t="inlineStr">
        <x:is>
          <x:t xml:space="preserve">45</x:t>
        </x:is>
      </x:c>
      <x:c r="F39" t="inlineStr">
        <x:is>
          <x:t xml:space="preserve">HR process</x:t>
        </x:is>
      </x:c>
      <x:c r="G39" t="inlineStr">
        <x:is>
          <x:t xml:space="preserve">Assume: track time per task for cost centers (MVP optional)</x:t>
        </x:is>
      </x:c>
      <x:c r="H39" t="inlineStr">
        <x:is>
          <x:t xml:space="preserve">Yes</x:t>
        </x:is>
      </x:c>
      <x:c r="I39" t="inlineStr">
        <x:is>
          <x:t xml:space="preserve">HR</x:t>
        </x:is>
      </x:c>
      <x:c r="J39" t="inlineStr">
        <x:is>
          <x:t xml:space="preserve">2025-12-27</x:t>
        </x:is>
      </x:c>
      <x:c r="K39" t="inlineStr">
        <x:is>
          <x:t xml:space="preserve">Later module.</x:t>
        </x:is>
      </x:c>
      <x:c r="L39" t="n">
        <x:v>110</x:v>
      </x:c>
      <x:c r="M39" t="inlineStr">
        <x:is>
          <x:t xml:space="preserve">Overdue</x:t>
        </x:is>
      </x:c>
      <x:c r="N39" t="inlineStr">
        <x:is>
          <x:t xml:space="preserve">T2</x:t>
        </x:is>
      </x:c>
      <x:c r="O39" t="inlineStr">
        <x:is>
          <x:t xml:space="preserve">2026-02-21</x:t>
        </x:is>
      </x:c>
      <x:c r="P39" t="inlineStr">
        <x:is>
          <x:t xml:space="preserve">Collect: HR process; capture decision in SOP; update RBAC/workflows.</x:t>
        </x:is>
      </x:c>
    </x:row>
    <x:row r="40">
      <x:c r="A40" t="inlineStr">
        <x:is>
          <x:t xml:space="preserve">U-039</x:t>
        </x:is>
      </x:c>
      <x:c r="B40" t="inlineStr">
        <x:is>
          <x:t xml:space="preserve">BI</x:t>
        </x:is>
      </x:c>
      <x:c r="C40" t="inlineStr">
        <x:is>
          <x:t xml:space="preserve">KPI definitions: tender win rate, cycle time, margin, utilization</x:t>
        </x:is>
      </x:c>
      <x:c r="D40" t="inlineStr">
        <x:is>
          <x:t xml:space="preserve">High</x:t>
        </x:is>
      </x:c>
      <x:c r="E40" t="inlineStr">
        <x:is>
          <x:t xml:space="preserve">45</x:t>
        </x:is>
      </x:c>
      <x:c r="F40" t="inlineStr">
        <x:is>
          <x:t xml:space="preserve">KPI list</x:t>
        </x:is>
      </x:c>
      <x:c r="G40" t="inlineStr">
        <x:is>
          <x:t xml:space="preserve">Assume: define KPIs in docs + calc formulas</x:t>
        </x:is>
      </x:c>
      <x:c r="H40" t="inlineStr">
        <x:is>
          <x:t xml:space="preserve">Yes</x:t>
        </x:is>
      </x:c>
      <x:c r="I40" t="inlineStr">
        <x:is>
          <x:t xml:space="preserve">Management</x:t>
        </x:is>
      </x:c>
      <x:c r="J40" t="inlineStr">
        <x:is>
          <x:t xml:space="preserve">2025-12-27</x:t>
        </x:is>
      </x:c>
      <x:c r="K40" t="inlineStr">
        <x:is>
          <x:t xml:space="preserve">Dashboards.</x:t>
        </x:is>
      </x:c>
      <x:c r="L40" t="n">
        <x:v>165</x:v>
      </x:c>
      <x:c r="M40" t="inlineStr">
        <x:is>
          <x:t xml:space="preserve">Overdue</x:t>
        </x:is>
      </x:c>
      <x:c r="N40" t="inlineStr">
        <x:is>
          <x:t xml:space="preserve">T1</x:t>
        </x:is>
      </x:c>
      <x:c r="O40" t="inlineStr">
        <x:is>
          <x:t xml:space="preserve">2026-02-07</x:t>
        </x:is>
      </x:c>
      <x:c r="P40" t="inlineStr">
        <x:is>
          <x:t xml:space="preserve">Collect: KPI list; capture decision in SOP; update RBAC/workflows.</x:t>
        </x:is>
      </x:c>
    </x:row>
    <x:row r="41">
      <x:c r="A41" t="inlineStr">
        <x:is>
          <x:t xml:space="preserve">U-040</x:t>
        </x:is>
      </x:c>
      <x:c r="B41" t="inlineStr">
        <x:is>
          <x:t xml:space="preserve">Docs/RAG</x:t>
        </x:is>
      </x:c>
      <x:c r="C41" t="inlineStr">
        <x:is>
          <x:t xml:space="preserve">Ground-truth evaluation: who scores summaries and how</x:t>
        </x:is>
      </x:c>
      <x:c r="D41" t="inlineStr">
        <x:is>
          <x:t xml:space="preserve">Med</x:t>
        </x:is>
      </x:c>
      <x:c r="E41" t="inlineStr">
        <x:is>
          <x:t xml:space="preserve">50</x:t>
        </x:is>
      </x:c>
      <x:c r="F41" t="inlineStr">
        <x:is>
          <x:t xml:space="preserve">Eval rubric</x:t>
        </x:is>
      </x:c>
      <x:c r="G41" t="inlineStr">
        <x:is>
          <x:t xml:space="preserve">Assume: 1–10 rubric + comments; weekly review</x:t>
        </x:is>
      </x:c>
      <x:c r="H41" t="inlineStr">
        <x:is>
          <x:t xml:space="preserve">Yes</x:t>
        </x:is>
      </x:c>
      <x:c r="I41" t="inlineStr">
        <x:is>
          <x:t xml:space="preserve">QA/QC</x:t>
        </x:is>
      </x:c>
      <x:c r="J41" t="inlineStr">
        <x:is>
          <x:t xml:space="preserve">2025-12-27</x:t>
        </x:is>
      </x:c>
      <x:c r="K41" t="inlineStr">
        <x:is>
          <x:t xml:space="preserve">Recursion loops.</x:t>
        </x:is>
      </x:c>
      <x:c r="L41" t="n">
        <x:v>100</x:v>
      </x:c>
      <x:c r="M41" t="inlineStr">
        <x:is>
          <x:t xml:space="preserve">Overdue</x:t>
        </x:is>
      </x:c>
      <x:c r="N41" t="inlineStr">
        <x:is>
          <x:t xml:space="preserve">T2</x:t>
        </x:is>
      </x:c>
      <x:c r="O41" t="inlineStr">
        <x:is>
          <x:t xml:space="preserve">2026-02-21</x:t>
        </x:is>
      </x:c>
      <x:c r="P41" t="inlineStr">
        <x:is>
          <x:t xml:space="preserve">Collect: Eval rubric; capture decision in SOP; update RBAC/workflows.</x:t>
        </x:is>
      </x:c>
    </x:row>
    <x:row r="42">
      <x:c r="A42" t="inlineStr">
        <x:is>
          <x:t xml:space="preserve">U-041</x:t>
        </x:is>
      </x:c>
      <x:c r="B42" t="inlineStr">
        <x:is>
          <x:t xml:space="preserve">Docs/RAG</x:t>
        </x:is>
      </x:c>
      <x:c r="C42" t="inlineStr">
        <x:is>
          <x:t xml:space="preserve">Hallucination controls: what is acceptable inference vs must-cite</x:t>
        </x:is>
      </x:c>
      <x:c r="D42" t="inlineStr">
        <x:is>
          <x:t xml:space="preserve">High</x:t>
        </x:is>
      </x:c>
      <x:c r="E42" t="inlineStr">
        <x:is>
          <x:t xml:space="preserve">45</x:t>
        </x:is>
      </x:c>
      <x:c r="F42" t="inlineStr">
        <x:is>
          <x:t xml:space="preserve">Policy</x:t>
        </x:is>
      </x:c>
      <x:c r="G42" t="inlineStr">
        <x:is>
          <x:t xml:space="preserve">Assume: anything contractual must cite; unknowns flagged</x:t>
        </x:is>
      </x:c>
      <x:c r="H42" t="inlineStr">
        <x:is>
          <x:t xml:space="preserve">Yes</x:t>
        </x:is>
      </x:c>
      <x:c r="I42" t="inlineStr">
        <x:is>
          <x:t xml:space="preserve">Compliance</x:t>
        </x:is>
      </x:c>
      <x:c r="J42" t="inlineStr">
        <x:is>
          <x:t xml:space="preserve">2025-12-22</x:t>
        </x:is>
      </x:c>
      <x:c r="K42" t="inlineStr">
        <x:is>
          <x:t xml:space="preserve">Critical.</x:t>
        </x:is>
      </x:c>
      <x:c r="L42" t="n">
        <x:v>165</x:v>
      </x:c>
      <x:c r="M42" t="inlineStr">
        <x:is>
          <x:t xml:space="preserve">Overdue</x:t>
        </x:is>
      </x:c>
      <x:c r="N42" t="inlineStr">
        <x:is>
          <x:t xml:space="preserve">T0</x:t>
        </x:is>
      </x:c>
      <x:c r="O42" t="inlineStr">
        <x:is>
          <x:t xml:space="preserve">2026-01-31</x:t>
        </x:is>
      </x:c>
      <x:c r="P42" t="inlineStr">
        <x:is>
          <x:t xml:space="preserve">Collect: Policy; capture decision in SOP; update RBAC/workflows.</x:t>
        </x:is>
      </x:c>
    </x:row>
    <x:row r="43">
      <x:c r="A43" t="inlineStr">
        <x:is>
          <x:t xml:space="preserve">U-042</x:t>
        </x:is>
      </x:c>
      <x:c r="B43" t="inlineStr">
        <x:is>
          <x:t xml:space="preserve">Ops</x:t>
        </x:is>
      </x:c>
      <x:c r="C43" t="inlineStr">
        <x:is>
          <x:t xml:space="preserve">Approval workflow for tender submission package</x:t>
        </x:is>
      </x:c>
      <x:c r="D43" t="inlineStr">
        <x:is>
          <x:t xml:space="preserve">High</x:t>
        </x:is>
      </x:c>
      <x:c r="E43" t="inlineStr">
        <x:is>
          <x:t xml:space="preserve">45</x:t>
        </x:is>
      </x:c>
      <x:c r="F43" t="inlineStr">
        <x:is>
          <x:t xml:space="preserve">SOP</x:t>
        </x:is>
      </x:c>
      <x:c r="G43" t="inlineStr">
        <x:is>
          <x:t xml:space="preserve">Assume: discipline sign-off → PMO QA → VP approval</x:t>
        </x:is>
      </x:c>
      <x:c r="H43" t="inlineStr">
        <x:is>
          <x:t xml:space="preserve">Yes</x:t>
        </x:is>
      </x:c>
      <x:c r="I43" t="inlineStr">
        <x:is>
          <x:t xml:space="preserve">Management</x:t>
        </x:is>
      </x:c>
      <x:c r="J43" t="inlineStr">
        <x:is>
          <x:t xml:space="preserve">2025-12-27</x:t>
        </x:is>
      </x:c>
      <x:c r="K43" t="inlineStr">
        <x:is>
          <x:t xml:space="preserve">Workflow engine.</x:t>
        </x:is>
      </x:c>
      <x:c r="L43" t="n">
        <x:v>165</x:v>
      </x:c>
      <x:c r="M43" t="inlineStr">
        <x:is>
          <x:t xml:space="preserve">Overdue</x:t>
        </x:is>
      </x:c>
      <x:c r="N43" t="inlineStr">
        <x:is>
          <x:t xml:space="preserve">T1</x:t>
        </x:is>
      </x:c>
      <x:c r="O43" t="inlineStr">
        <x:is>
          <x:t xml:space="preserve">2026-02-07</x:t>
        </x:is>
      </x:c>
      <x:c r="P43" t="inlineStr">
        <x:is>
          <x:t xml:space="preserve">Collect: SOP; capture decision in SOP; update RBAC/workflows.</x:t>
        </x:is>
      </x:c>
    </x:row>
    <x:row r="44">
      <x:c r="A44" t="inlineStr">
        <x:is>
          <x:t xml:space="preserve">U-043</x:t>
        </x:is>
      </x:c>
      <x:c r="B44" t="inlineStr">
        <x:is>
          <x:t xml:space="preserve">Ops</x:t>
        </x:is>
      </x:c>
      <x:c r="C44" t="inlineStr">
        <x:is>
          <x:t xml:space="preserve">What constitutes 'quality' tender: scoring rubric criteria</x:t>
        </x:is>
      </x:c>
      <x:c r="D44" t="inlineStr">
        <x:is>
          <x:t xml:space="preserve">High</x:t>
        </x:is>
      </x:c>
      <x:c r="E44" t="inlineStr">
        <x:is>
          <x:t xml:space="preserve">40</x:t>
        </x:is>
      </x:c>
      <x:c r="F44" t="inlineStr">
        <x:is>
          <x:t xml:space="preserve">Management rubric</x:t>
        </x:is>
      </x:c>
      <x:c r="G44" t="inlineStr">
        <x:is>
          <x:t xml:space="preserve">Assume: compliance, clarity, differentiation, methodology, visuals</x:t>
        </x:is>
      </x:c>
      <x:c r="H44" t="inlineStr">
        <x:is>
          <x:t xml:space="preserve">Yes</x:t>
        </x:is>
      </x:c>
      <x:c r="I44" t="inlineStr">
        <x:is>
          <x:t xml:space="preserve">Management</x:t>
        </x:is>
      </x:c>
      <x:c r="J44" t="inlineStr">
        <x:is>
          <x:t xml:space="preserve">2025-12-27</x:t>
        </x:is>
      </x:c>
      <x:c r="K44" t="inlineStr">
        <x:is>
          <x:t xml:space="preserve">Optimization mega project.</x:t>
        </x:is>
      </x:c>
      <x:c r="L44" t="n">
        <x:v>180</x:v>
      </x:c>
      <x:c r="M44" t="inlineStr">
        <x:is>
          <x:t xml:space="preserve">Overdue</x:t>
        </x:is>
      </x:c>
      <x:c r="N44" t="inlineStr">
        <x:is>
          <x:t xml:space="preserve">T1</x:t>
        </x:is>
      </x:c>
      <x:c r="O44" t="inlineStr">
        <x:is>
          <x:t xml:space="preserve">2026-02-07</x:t>
        </x:is>
      </x:c>
      <x:c r="P44" t="inlineStr">
        <x:is>
          <x:t xml:space="preserve">Collect: Management rubric; capture decision in SOP; update RBAC/workflows.</x:t>
        </x:is>
      </x:c>
    </x:row>
    <x:row r="45">
      <x:c r="A45" t="inlineStr">
        <x:is>
          <x:t xml:space="preserve">U-044</x:t>
        </x:is>
      </x:c>
      <x:c r="B45" t="inlineStr">
        <x:is>
          <x:t xml:space="preserve">Docs</x:t>
        </x:is>
      </x:c>
      <x:c r="C45" t="inlineStr">
        <x:is>
          <x:t xml:space="preserve">Template repository location + access rights</x:t>
        </x:is>
      </x:c>
      <x:c r="D45" t="inlineStr">
        <x:is>
          <x:t xml:space="preserve">Med</x:t>
        </x:is>
      </x:c>
      <x:c r="E45" t="inlineStr">
        <x:is>
          <x:t xml:space="preserve">55</x:t>
        </x:is>
      </x:c>
      <x:c r="F45" t="inlineStr">
        <x:is>
          <x:t xml:space="preserve">Current template folders</x:t>
        </x:is>
      </x:c>
      <x:c r="G45" t="inlineStr">
        <x:is>
          <x:t xml:space="preserve">Assume: central templates vault with version control</x:t>
        </x:is>
      </x:c>
      <x:c r="H45" t="inlineStr">
        <x:is>
          <x:t xml:space="preserve">Yes</x:t>
        </x:is>
      </x:c>
      <x:c r="I45" t="inlineStr">
        <x:is>
          <x:t xml:space="preserve">PMO</x:t>
        </x:is>
      </x:c>
      <x:c r="J45" t="inlineStr">
        <x:is>
          <x:t xml:space="preserve">2025-12-27</x:t>
        </x:is>
      </x:c>
      <x:c r="K45" t="inlineStr">
        <x:is>
          <x:t xml:space="preserve">Governance.</x:t>
        </x:is>
      </x:c>
      <x:c r="L45" t="n">
        <x:v>90</x:v>
      </x:c>
      <x:c r="M45" t="inlineStr">
        <x:is>
          <x:t xml:space="preserve">Overdue</x:t>
        </x:is>
      </x:c>
      <x:c r="N45" t="inlineStr">
        <x:is>
          <x:t xml:space="preserve">T2</x:t>
        </x:is>
      </x:c>
      <x:c r="O45" t="inlineStr">
        <x:is>
          <x:t xml:space="preserve">2026-02-21</x:t>
        </x:is>
      </x:c>
      <x:c r="P45" t="inlineStr">
        <x:is>
          <x:t xml:space="preserve">Collect: Current template folders; capture decision in SOP; update RBAC/workflows.</x:t>
        </x:is>
      </x:c>
    </x:row>
    <x:row r="46">
      <x:c r="A46" t="inlineStr">
        <x:is>
          <x:t xml:space="preserve">U-045</x:t>
        </x:is>
      </x:c>
      <x:c r="B46" t="inlineStr">
        <x:is>
          <x:t xml:space="preserve">Ops</x:t>
        </x:is>
      </x:c>
      <x:c r="C46" t="inlineStr">
        <x:is>
          <x:t xml:space="preserve">Standard response SLA to client emails</x:t>
        </x:is>
      </x:c>
      <x:c r="D46" t="inlineStr">
        <x:is>
          <x:t xml:space="preserve">Med</x:t>
        </x:is>
      </x:c>
      <x:c r="E46" t="inlineStr">
        <x:is>
          <x:t xml:space="preserve">55</x:t>
        </x:is>
      </x:c>
      <x:c r="F46" t="inlineStr">
        <x:is>
          <x:t xml:space="preserve">Policy</x:t>
        </x:is>
      </x:c>
      <x:c r="G46" t="inlineStr">
        <x:is>
          <x:t xml:space="preserve">Assume: 24h business days for external; 4h internal</x:t>
        </x:is>
      </x:c>
      <x:c r="H46" t="inlineStr">
        <x:is>
          <x:t xml:space="preserve">Yes</x:t>
        </x:is>
      </x:c>
      <x:c r="I46" t="inlineStr">
        <x:is>
          <x:t xml:space="preserve">Management</x:t>
        </x:is>
      </x:c>
      <x:c r="J46" t="inlineStr">
        <x:is>
          <x:t xml:space="preserve">2025-12-27</x:t>
        </x:is>
      </x:c>
      <x:c r="K46" t="inlineStr">
        <x:is>
          <x:t xml:space="preserve">Notification rules.</x:t>
        </x:is>
      </x:c>
      <x:c r="L46" t="n">
        <x:v>90</x:v>
      </x:c>
      <x:c r="M46" t="inlineStr">
        <x:is>
          <x:t xml:space="preserve">Overdue</x:t>
        </x:is>
      </x:c>
      <x:c r="N46" t="inlineStr">
        <x:is>
          <x:t xml:space="preserve">T2</x:t>
        </x:is>
      </x:c>
      <x:c r="O46" t="inlineStr">
        <x:is>
          <x:t xml:space="preserve">2026-02-21</x:t>
        </x:is>
      </x:c>
      <x:c r="P46" t="inlineStr">
        <x:is>
          <x:t xml:space="preserve">Collect: Policy; capture decision in SOP; update RBAC/workflows.</x:t>
        </x:is>
      </x:c>
    </x:row>
    <x:row r="47">
      <x:c r="A47" t="inlineStr">
        <x:is>
          <x:t xml:space="preserve">U-046</x:t>
        </x:is>
      </x:c>
      <x:c r="B47" t="inlineStr">
        <x:is>
          <x:t xml:space="preserve">AI Ops</x:t>
        </x:is>
      </x:c>
      <x:c r="C47" t="inlineStr">
        <x:is>
          <x:t xml:space="preserve">Prompt/version management approach (registry)</x:t>
        </x:is>
      </x:c>
      <x:c r="D47" t="inlineStr">
        <x:is>
          <x:t xml:space="preserve">Med</x:t>
        </x:is>
      </x:c>
      <x:c r="E47" t="inlineStr">
        <x:is>
          <x:t xml:space="preserve">55</x:t>
        </x:is>
      </x:c>
      <x:c r="F47" t="inlineStr">
        <x:is>
          <x:t xml:space="preserve">Decision</x:t>
        </x:is>
      </x:c>
      <x:c r="G47" t="inlineStr">
        <x:is>
          <x:t xml:space="preserve">Assume: prompts/ folder + semantic versions + changelog</x:t>
        </x:is>
      </x:c>
      <x:c r="H47" t="inlineStr">
        <x:is>
          <x:t xml:space="preserve">No</x:t>
        </x:is>
      </x:c>
      <x:c r="I47" t="inlineStr">
        <x:is>
          <x:t xml:space="preserve">Engineering</x:t>
        </x:is>
      </x:c>
      <x:c r="J47" t="inlineStr">
        <x:is>
          <x:t xml:space="preserve">2025-12-27</x:t>
        </x:is>
      </x:c>
      <x:c r="K47" t="inlineStr">
        <x:is>
          <x:t xml:space="preserve">Implement soon.</x:t>
        </x:is>
      </x:c>
      <x:c r="L47" t="n">
        <x:v>90</x:v>
      </x:c>
      <x:c r="M47" t="inlineStr">
        <x:is>
          <x:t xml:space="preserve">Overdue</x:t>
        </x:is>
      </x:c>
      <x:c r="N47" t="inlineStr">
        <x:is>
          <x:t xml:space="preserve">T2</x:t>
        </x:is>
      </x:c>
      <x:c r="O47" t="inlineStr">
        <x:is>
          <x:t xml:space="preserve">2026-02-21</x:t>
        </x:is>
      </x:c>
      <x:c r="P47" t="inlineStr">
        <x:is>
          <x:t xml:space="preserve">Collect: Decision; capture decision in SOP; update RBAC/workflows.</x:t>
        </x:is>
      </x:c>
    </x:row>
    <x:row r="48">
      <x:c r="A48" t="inlineStr">
        <x:is>
          <x:t xml:space="preserve">U-047</x:t>
        </x:is>
      </x:c>
      <x:c r="B48" t="inlineStr">
        <x:is>
          <x:t xml:space="preserve">AI Ops</x:t>
        </x:is>
      </x:c>
      <x:c r="C48" t="inlineStr">
        <x:is>
          <x:t xml:space="preserve">Model selection per task (summaries vs extraction vs codegen)</x:t>
        </x:is>
      </x:c>
      <x:c r="D48" t="inlineStr">
        <x:is>
          <x:t xml:space="preserve">Med</x:t>
        </x:is>
      </x:c>
      <x:c r="E48" t="inlineStr">
        <x:is>
          <x:t xml:space="preserve">50</x:t>
        </x:is>
      </x:c>
      <x:c r="F48" t="inlineStr">
        <x:is>
          <x:t xml:space="preserve">Benchmarks</x:t>
        </x:is>
      </x:c>
      <x:c r="G48" t="inlineStr">
        <x:is>
          <x:t xml:space="preserve">Assume: extraction uses deterministic settings; codegen separate</x:t>
        </x:is>
      </x:c>
      <x:c r="H48" t="inlineStr">
        <x:is>
          <x:t xml:space="preserve">No</x:t>
        </x:is>
      </x:c>
      <x:c r="I48" t="inlineStr">
        <x:is>
          <x:t xml:space="preserve">Engineering</x:t>
        </x:is>
      </x:c>
      <x:c r="J48" t="inlineStr">
        <x:is>
          <x:t xml:space="preserve">2025-12-27</x:t>
        </x:is>
      </x:c>
      <x:c r="K48" t="inlineStr">
        <x:is>
          <x:t xml:space="preserve">Optimize later.</x:t>
        </x:is>
      </x:c>
      <x:c r="L48" t="n">
        <x:v>100</x:v>
      </x:c>
      <x:c r="M48" t="inlineStr">
        <x:is>
          <x:t xml:space="preserve">Overdue</x:t>
        </x:is>
      </x:c>
      <x:c r="N48" t="inlineStr">
        <x:is>
          <x:t xml:space="preserve">T2</x:t>
        </x:is>
      </x:c>
      <x:c r="O48" t="inlineStr">
        <x:is>
          <x:t xml:space="preserve">2026-02-21</x:t>
        </x:is>
      </x:c>
      <x:c r="P48" t="inlineStr">
        <x:is>
          <x:t xml:space="preserve">Collect: Benchmarks; capture decision in SOP; update RBAC/workflows.</x:t>
        </x:is>
      </x:c>
    </x:row>
    <x:row r="49">
      <x:c r="A49" t="inlineStr">
        <x:is>
          <x:t xml:space="preserve">U-048</x:t>
        </x:is>
      </x:c>
      <x:c r="B49" t="inlineStr">
        <x:is>
          <x:t xml:space="preserve">Compliance</x:t>
        </x:is>
      </x:c>
      <x:c r="C49" t="inlineStr">
        <x:is>
          <x:t xml:space="preserve">Need for redaction before sending docs to LLMs</x:t>
        </x:is>
      </x:c>
      <x:c r="D49" t="inlineStr">
        <x:is>
          <x:t xml:space="preserve">High</x:t>
        </x:is>
      </x:c>
      <x:c r="E49" t="inlineStr">
        <x:is>
          <x:t xml:space="preserve">35</x:t>
        </x:is>
      </x:c>
      <x:c r="F49" t="inlineStr">
        <x:is>
          <x:t xml:space="preserve">Policy</x:t>
        </x:is>
      </x:c>
      <x:c r="G49" t="inlineStr">
        <x:is>
          <x:t xml:space="preserve">Assume: auto-redact PII/IDs for Restricted docs</x:t>
        </x:is>
      </x:c>
      <x:c r="H49" t="inlineStr">
        <x:is>
          <x:t xml:space="preserve">Yes</x:t>
        </x:is>
      </x:c>
      <x:c r="I49" t="inlineStr">
        <x:is>
          <x:t xml:space="preserve">Compliance</x:t>
        </x:is>
      </x:c>
      <x:c r="J49" t="inlineStr">
        <x:is>
          <x:t xml:space="preserve">2025-12-22</x:t>
        </x:is>
      </x:c>
      <x:c r="K49" t="inlineStr">
        <x:is>
          <x:t xml:space="preserve">High stakes.</x:t>
        </x:is>
      </x:c>
      <x:c r="L49" t="n">
        <x:v>195</x:v>
      </x:c>
      <x:c r="M49" t="inlineStr">
        <x:is>
          <x:t xml:space="preserve">Overdue</x:t>
        </x:is>
      </x:c>
      <x:c r="N49" t="inlineStr">
        <x:is>
          <x:t xml:space="preserve">T0</x:t>
        </x:is>
      </x:c>
      <x:c r="O49" t="inlineStr">
        <x:is>
          <x:t xml:space="preserve">2026-01-31</x:t>
        </x:is>
      </x:c>
      <x:c r="P49" t="inlineStr">
        <x:is>
          <x:t xml:space="preserve">Collect: Policy; capture decision in SOP; update RBAC/workflows.</x:t>
        </x:is>
      </x:c>
    </x:row>
    <x:row r="50">
      <x:c r="A50" t="inlineStr">
        <x:is>
          <x:t xml:space="preserve">U-049</x:t>
        </x:is>
      </x:c>
      <x:c r="B50" t="inlineStr">
        <x:is>
          <x:t xml:space="preserve">Compliance</x:t>
        </x:is>
      </x:c>
      <x:c r="C50" t="inlineStr">
        <x:is>
          <x:t xml:space="preserve">Consent + lawful basis tracking for personal data in HR docs</x:t>
        </x:is>
      </x:c>
      <x:c r="D50" t="inlineStr">
        <x:is>
          <x:t xml:space="preserve">High</x:t>
        </x:is>
      </x:c>
      <x:c r="E50" t="inlineStr">
        <x:is>
          <x:t xml:space="preserve">35</x:t>
        </x:is>
      </x:c>
      <x:c r="F50" t="inlineStr">
        <x:is>
          <x:t xml:space="preserve">Legal guidance</x:t>
        </x:is>
      </x:c>
      <x:c r="G50" t="inlineStr">
        <x:is>
          <x:t xml:space="preserve">Assume: consent records stored; access logged</x:t>
        </x:is>
      </x:c>
      <x:c r="H50" t="inlineStr">
        <x:is>
          <x:t xml:space="preserve">Yes</x:t>
        </x:is>
      </x:c>
      <x:c r="I50" t="inlineStr">
        <x:is>
          <x:t xml:space="preserve">HR/Compliance</x:t>
        </x:is>
      </x:c>
      <x:c r="J50" t="inlineStr">
        <x:is>
          <x:t xml:space="preserve">2025-12-27</x:t>
        </x:is>
      </x:c>
      <x:c r="K50" t="inlineStr">
        <x:is>
          <x:t xml:space="preserve">PDPL alignment.</x:t>
        </x:is>
      </x:c>
      <x:c r="L50" t="n">
        <x:v>195</x:v>
      </x:c>
      <x:c r="M50" t="inlineStr">
        <x:is>
          <x:t xml:space="preserve">Overdue</x:t>
        </x:is>
      </x:c>
      <x:c r="N50" t="inlineStr">
        <x:is>
          <x:t xml:space="preserve">T1</x:t>
        </x:is>
      </x:c>
      <x:c r="O50" t="inlineStr">
        <x:is>
          <x:t xml:space="preserve">2026-02-07</x:t>
        </x:is>
      </x:c>
      <x:c r="P50" t="inlineStr">
        <x:is>
          <x:t xml:space="preserve">Collect: Legal guidance; capture decision in SOP; update RBAC/workflows.</x:t>
        </x:is>
      </x:c>
    </x:row>
    <x:row r="51">
      <x:c r="A51" t="inlineStr">
        <x:is>
          <x:t xml:space="preserve">U-050</x:t>
        </x:is>
      </x:c>
      <x:c r="B51" t="inlineStr">
        <x:is>
          <x:t xml:space="preserve">Deployment</x:t>
        </x:is>
      </x:c>
      <x:c r="C51" t="inlineStr">
        <x:is>
          <x:t xml:space="preserve">Backup + DR requirements (RPO/RTO)</x:t>
        </x:is>
      </x:c>
      <x:c r="D51" t="inlineStr">
        <x:is>
          <x:t xml:space="preserve">High</x:t>
        </x:is>
      </x:c>
      <x:c r="E51" t="inlineStr">
        <x:is>
          <x:t xml:space="preserve">40</x:t>
        </x:is>
      </x:c>
      <x:c r="F51" t="inlineStr">
        <x:is>
          <x:t xml:space="preserve">IT policy</x:t>
        </x:is>
      </x:c>
      <x:c r="G51" t="inlineStr">
        <x:is>
          <x:t xml:space="preserve">Assume: daily backups; RPO 24h; RTO 8h for MVP</x:t>
        </x:is>
      </x:c>
      <x:c r="H51" t="inlineStr">
        <x:is>
          <x:t xml:space="preserve">Yes</x:t>
        </x:is>
      </x:c>
      <x:c r="I51" t="inlineStr">
        <x:is>
          <x:t xml:space="preserve">IT Lead</x:t>
        </x:is>
      </x:c>
      <x:c r="J51" t="inlineStr">
        <x:is>
          <x:t xml:space="preserve">2025-12-27</x:t>
        </x:is>
      </x:c>
      <x:c r="K51" t="inlineStr">
        <x:is>
          <x:t xml:space="preserve">Production readiness.</x:t>
        </x:is>
      </x:c>
      <x:c r="L51" t="n">
        <x:v>180</x:v>
      </x:c>
      <x:c r="M51" t="inlineStr">
        <x:is>
          <x:t xml:space="preserve">Overdue</x:t>
        </x:is>
      </x:c>
      <x:c r="N51" t="inlineStr">
        <x:is>
          <x:t xml:space="preserve">T0</x:t>
        </x:is>
      </x:c>
      <x:c r="O51" t="inlineStr">
        <x:is>
          <x:t xml:space="preserve">2026-01-31</x:t>
        </x:is>
      </x:c>
      <x:c r="P51" t="inlineStr">
        <x:is>
          <x:t xml:space="preserve">Collect: IT policy; capture decision in SOP; update RBAC/workflows.</x:t>
        </x:is>
      </x:c>
    </x:row>
  </x:sheetData>
  <x:pageMargins left="0.7" right="0.7" top="0.75" bottom="0.75" header="0.3" footer="0.3"/>
</x:worksheet>
</file>

<file path=xl/worksheets/sheet13.xml><?xml version="1.0" encoding="utf-8"?>
<x:worksheet xmlns:x="http://schemas.openxmlformats.org/spreadsheetml/2006/main">
  <x:sheetFormatPr defaultRowHeight="15"/>
  <x:sheetData>
    <x:row r="1">
      <x:c r="A1" t="inlineStr">
        <x:is>
          <x:t xml:space="preserve">Rank</x:t>
        </x:is>
      </x:c>
      <x:c r="B1" t="inlineStr">
        <x:is>
          <x:t xml:space="preserve">ID</x:t>
        </x:is>
      </x:c>
      <x:c r="C1" t="inlineStr">
        <x:is>
          <x:t xml:space="preserve">Area</x:t>
        </x:is>
      </x:c>
      <x:c r="D1" t="inlineStr">
        <x:is>
          <x:t xml:space="preserve">Impact</x:t>
        </x:is>
      </x:c>
      <x:c r="E1" t="inlineStr">
        <x:is>
          <x:t xml:space="preserve">Confidence_%</x:t>
        </x:is>
      </x:c>
      <x:c r="F1" t="inlineStr">
        <x:is>
          <x:t xml:space="preserve">RiskScore</x:t>
        </x:is>
      </x:c>
      <x:c r="G1" t="inlineStr">
        <x:is>
          <x:t xml:space="preserve">PriorityTier</x:t>
        </x:is>
      </x:c>
      <x:c r="H1" t="inlineStr">
        <x:is>
          <x:t xml:space="preserve">New_deadline</x:t>
        </x:is>
      </x:c>
      <x:c r="I1" t="inlineStr">
        <x:is>
          <x:t xml:space="preserve">Owner</x:t>
        </x:is>
      </x:c>
      <x:c r="J1" t="inlineStr">
        <x:is>
          <x:t xml:space="preserve">Evidence_needed</x:t>
        </x:is>
      </x:c>
      <x:c r="K1" t="inlineStr">
        <x:is>
          <x:t xml:space="preserve">Next_action</x:t>
        </x:is>
      </x:c>
    </x:row>
    <x:row r="2">
      <x:c r="A2" t="n">
        <x:v>1</x:v>
      </x:c>
      <x:c r="B2" t="inlineStr">
        <x:is>
          <x:t xml:space="preserve">U-003</x:t>
        </x:is>
      </x:c>
      <x:c r="C2" t="inlineStr">
        <x:is>
          <x:t xml:space="preserve">Security</x:t>
        </x:is>
      </x:c>
      <x:c r="D2" t="inlineStr">
        <x:is>
          <x:t xml:space="preserve">High</x:t>
        </x:is>
      </x:c>
      <x:c r="E2" t="inlineStr">
        <x:is>
          <x:t xml:space="preserve">25</x:t>
        </x:is>
      </x:c>
      <x:c r="F2" t="n">
        <x:v>225</x:v>
      </x:c>
      <x:c r="G2" t="inlineStr">
        <x:is>
          <x:t xml:space="preserve">T0</x:t>
        </x:is>
      </x:c>
      <x:c r="H2" t="inlineStr">
        <x:is>
          <x:t xml:space="preserve">2026-01-31</x:t>
        </x:is>
      </x:c>
      <x:c r="I2" t="inlineStr">
        <x:is>
          <x:t xml:space="preserve">Compliance</x:t>
        </x:is>
      </x:c>
      <x:c r="J2" t="inlineStr">
        <x:is>
          <x:t xml:space="preserve">IT + legal note</x:t>
        </x:is>
      </x:c>
      <x:c r="K2" t="inlineStr">
        <x:is>
          <x:t xml:space="preserve">Collect: IT + legal note; capture decision in SOP; update RBAC/workflows.</x:t>
        </x:is>
      </x:c>
    </x:row>
    <x:row r="3">
      <x:c r="A3" t="n">
        <x:v>2</x:v>
      </x:c>
      <x:c r="B3" t="inlineStr">
        <x:is>
          <x:t xml:space="preserve">U-018</x:t>
        </x:is>
      </x:c>
      <x:c r="C3" t="inlineStr">
        <x:is>
          <x:t xml:space="preserve">Docs/RAG</x:t>
        </x:is>
      </x:c>
      <x:c r="D3" t="inlineStr">
        <x:is>
          <x:t xml:space="preserve">High</x:t>
        </x:is>
      </x:c>
      <x:c r="E3" t="inlineStr">
        <x:is>
          <x:t xml:space="preserve">25</x:t>
        </x:is>
      </x:c>
      <x:c r="F3" t="n">
        <x:v>225</x:v>
      </x:c>
      <x:c r="G3" t="inlineStr">
        <x:is>
          <x:t xml:space="preserve">T0</x:t>
        </x:is>
      </x:c>
      <x:c r="H3" t="inlineStr">
        <x:is>
          <x:t xml:space="preserve">2026-01-31</x:t>
        </x:is>
      </x:c>
      <x:c r="I3" t="inlineStr">
        <x:is>
          <x:t xml:space="preserve">Compliance</x:t>
        </x:is>
      </x:c>
      <x:c r="J3" t="inlineStr">
        <x:is>
          <x:t xml:space="preserve">Policy decision</x:t>
        </x:is>
      </x:c>
      <x:c r="K3" t="inlineStr">
        <x:is>
          <x:t xml:space="preserve">Collect: Policy decision; capture decision in SOP; update RBAC/workflows.</x:t>
        </x:is>
      </x:c>
    </x:row>
    <x:row r="4">
      <x:c r="A4" t="n">
        <x:v>3</x:v>
      </x:c>
      <x:c r="B4" t="inlineStr">
        <x:is>
          <x:t xml:space="preserve">U-002</x:t>
        </x:is>
      </x:c>
      <x:c r="C4" t="inlineStr">
        <x:is>
          <x:t xml:space="preserve">Systems</x:t>
        </x:is>
      </x:c>
      <x:c r="D4" t="inlineStr">
        <x:is>
          <x:t xml:space="preserve">High</x:t>
        </x:is>
      </x:c>
      <x:c r="E4" t="inlineStr">
        <x:is>
          <x:t xml:space="preserve">30</x:t>
        </x:is>
      </x:c>
      <x:c r="F4" t="n">
        <x:v>210</x:v>
      </x:c>
      <x:c r="G4" t="inlineStr">
        <x:is>
          <x:t xml:space="preserve">T0</x:t>
        </x:is>
      </x:c>
      <x:c r="H4" t="inlineStr">
        <x:is>
          <x:t xml:space="preserve">2026-01-31</x:t>
        </x:is>
      </x:c>
      <x:c r="I4" t="inlineStr">
        <x:is>
          <x:t xml:space="preserve">IT Lead</x:t>
        </x:is>
      </x:c>
      <x:c r="J4" t="inlineStr">
        <x:is>
          <x:t xml:space="preserve">IT stack list</x:t>
        </x:is>
      </x:c>
      <x:c r="K4" t="inlineStr">
        <x:is>
          <x:t xml:space="preserve">Collect: IT stack list; capture decision in SOP; update RBAC/workflows.</x:t>
        </x:is>
      </x:c>
    </x:row>
    <x:row r="5">
      <x:c r="A5" t="n">
        <x:v>4</x:v>
      </x:c>
      <x:c r="B5" t="inlineStr">
        <x:is>
          <x:t xml:space="preserve">U-013</x:t>
        </x:is>
      </x:c>
      <x:c r="C5" t="inlineStr">
        <x:is>
          <x:t xml:space="preserve">Finance</x:t>
        </x:is>
      </x:c>
      <x:c r="D5" t="inlineStr">
        <x:is>
          <x:t xml:space="preserve">High</x:t>
        </x:is>
      </x:c>
      <x:c r="E5" t="inlineStr">
        <x:is>
          <x:t xml:space="preserve">30</x:t>
        </x:is>
      </x:c>
      <x:c r="F5" t="n">
        <x:v>210</x:v>
      </x:c>
      <x:c r="G5" t="inlineStr">
        <x:is>
          <x:t xml:space="preserve">T0</x:t>
        </x:is>
      </x:c>
      <x:c r="H5" t="inlineStr">
        <x:is>
          <x:t xml:space="preserve">2026-01-31</x:t>
        </x:is>
      </x:c>
      <x:c r="I5" t="inlineStr">
        <x:is>
          <x:t xml:space="preserve">Finance</x:t>
        </x:is>
      </x:c>
      <x:c r="J5" t="inlineStr">
        <x:is>
          <x:t xml:space="preserve">Finance workbook/process</x:t>
        </x:is>
      </x:c>
      <x:c r="K5" t="inlineStr">
        <x:is>
          <x:t xml:space="preserve">Collect: Finance workbook/process; capture decision in SOP; update RBAC/workflows.</x:t>
        </x:is>
      </x:c>
    </x:row>
    <x:row r="6">
      <x:c r="A6" t="n">
        <x:v>5</x:v>
      </x:c>
      <x:c r="B6" t="inlineStr">
        <x:is>
          <x:t xml:space="preserve">U-014</x:t>
        </x:is>
      </x:c>
      <x:c r="C6" t="inlineStr">
        <x:is>
          <x:t xml:space="preserve">Email</x:t>
        </x:is>
      </x:c>
      <x:c r="D6" t="inlineStr">
        <x:is>
          <x:t xml:space="preserve">High</x:t>
        </x:is>
      </x:c>
      <x:c r="E6" t="inlineStr">
        <x:is>
          <x:t xml:space="preserve">35</x:t>
        </x:is>
      </x:c>
      <x:c r="F6" t="n">
        <x:v>195</x:v>
      </x:c>
      <x:c r="G6" t="inlineStr">
        <x:is>
          <x:t xml:space="preserve">T0</x:t>
        </x:is>
      </x:c>
      <x:c r="H6" t="inlineStr">
        <x:is>
          <x:t xml:space="preserve">2026-01-31</x:t>
        </x:is>
      </x:c>
      <x:c r="I6" t="inlineStr">
        <x:is>
          <x:t xml:space="preserve">Compliance</x:t>
        </x:is>
      </x:c>
      <x:c r="J6" t="inlineStr">
        <x:is>
          <x:t xml:space="preserve">Policy decision</x:t>
        </x:is>
      </x:c>
      <x:c r="K6" t="inlineStr">
        <x:is>
          <x:t xml:space="preserve">Collect: Policy decision; capture decision in SOP; update RBAC/workflows.</x:t>
        </x:is>
      </x:c>
    </x:row>
    <x:row r="7">
      <x:c r="A7" t="n">
        <x:v>6</x:v>
      </x:c>
      <x:c r="B7" t="inlineStr">
        <x:is>
          <x:t xml:space="preserve">U-026</x:t>
        </x:is>
      </x:c>
      <x:c r="C7" t="inlineStr">
        <x:is>
          <x:t xml:space="preserve">Security</x:t>
        </x:is>
      </x:c>
      <x:c r="D7" t="inlineStr">
        <x:is>
          <x:t xml:space="preserve">High</x:t>
        </x:is>
      </x:c>
      <x:c r="E7" t="inlineStr">
        <x:is>
          <x:t xml:space="preserve">35</x:t>
        </x:is>
      </x:c>
      <x:c r="F7" t="n">
        <x:v>195</x:v>
      </x:c>
      <x:c r="G7" t="inlineStr">
        <x:is>
          <x:t xml:space="preserve">T0</x:t>
        </x:is>
      </x:c>
      <x:c r="H7" t="inlineStr">
        <x:is>
          <x:t xml:space="preserve">2026-01-31</x:t>
        </x:is>
      </x:c>
      <x:c r="I7" t="inlineStr">
        <x:is>
          <x:t xml:space="preserve">Compliance</x:t>
        </x:is>
      </x:c>
      <x:c r="J7" t="inlineStr">
        <x:is>
          <x:t xml:space="preserve">IT/Compliance requirement</x:t>
        </x:is>
      </x:c>
      <x:c r="K7" t="inlineStr">
        <x:is>
          <x:t xml:space="preserve">Collect: IT/Compliance requirement; capture decision in SOP; update RBAC/workflows.</x:t>
        </x:is>
      </x:c>
    </x:row>
    <x:row r="8">
      <x:c r="A8" t="n">
        <x:v>7</x:v>
      </x:c>
      <x:c r="B8" t="inlineStr">
        <x:is>
          <x:t xml:space="preserve">U-029</x:t>
        </x:is>
      </x:c>
      <x:c r="C8" t="inlineStr">
        <x:is>
          <x:t xml:space="preserve">Integrations</x:t>
        </x:is>
      </x:c>
      <x:c r="D8" t="inlineStr">
        <x:is>
          <x:t xml:space="preserve">High</x:t>
        </x:is>
      </x:c>
      <x:c r="E8" t="inlineStr">
        <x:is>
          <x:t xml:space="preserve">35</x:t>
        </x:is>
      </x:c>
      <x:c r="F8" t="n">
        <x:v>195</x:v>
      </x:c>
      <x:c r="G8" t="inlineStr">
        <x:is>
          <x:t xml:space="preserve">T0</x:t>
        </x:is>
      </x:c>
      <x:c r="H8" t="inlineStr">
        <x:is>
          <x:t xml:space="preserve">2026-01-31</x:t>
        </x:is>
      </x:c>
      <x:c r="I8" t="inlineStr">
        <x:is>
          <x:t xml:space="preserve">IT Lead</x:t>
        </x:is>
      </x:c>
      <x:c r="J8" t="inlineStr">
        <x:is>
          <x:t xml:space="preserve">IT decision</x:t>
        </x:is>
      </x:c>
      <x:c r="K8" t="inlineStr">
        <x:is>
          <x:t xml:space="preserve">Collect: IT decision; capture decision in SOP; update RBAC/workflows.</x:t>
        </x:is>
      </x:c>
    </x:row>
    <x:row r="9">
      <x:c r="A9" t="n">
        <x:v>8</x:v>
      </x:c>
      <x:c r="B9" t="inlineStr">
        <x:is>
          <x:t xml:space="preserve">U-048</x:t>
        </x:is>
      </x:c>
      <x:c r="C9" t="inlineStr">
        <x:is>
          <x:t xml:space="preserve">Compliance</x:t>
        </x:is>
      </x:c>
      <x:c r="D9" t="inlineStr">
        <x:is>
          <x:t xml:space="preserve">High</x:t>
        </x:is>
      </x:c>
      <x:c r="E9" t="inlineStr">
        <x:is>
          <x:t xml:space="preserve">35</x:t>
        </x:is>
      </x:c>
      <x:c r="F9" t="n">
        <x:v>195</x:v>
      </x:c>
      <x:c r="G9" t="inlineStr">
        <x:is>
          <x:t xml:space="preserve">T0</x:t>
        </x:is>
      </x:c>
      <x:c r="H9" t="inlineStr">
        <x:is>
          <x:t xml:space="preserve">2026-01-31</x:t>
        </x:is>
      </x:c>
      <x:c r="I9" t="inlineStr">
        <x:is>
          <x:t xml:space="preserve">Compliance</x:t>
        </x:is>
      </x:c>
      <x:c r="J9" t="inlineStr">
        <x:is>
          <x:t xml:space="preserve">Policy</x:t>
        </x:is>
      </x:c>
      <x:c r="K9" t="inlineStr">
        <x:is>
          <x:t xml:space="preserve">Collect: Policy; capture decision in SOP; update RBAC/workflows.</x:t>
        </x:is>
      </x:c>
    </x:row>
    <x:row r="10">
      <x:c r="A10" t="n">
        <x:v>9</x:v>
      </x:c>
      <x:c r="B10" t="inlineStr">
        <x:is>
          <x:t xml:space="preserve">U-006</x:t>
        </x:is>
      </x:c>
      <x:c r="C10" t="inlineStr">
        <x:is>
          <x:t xml:space="preserve">Ops</x:t>
        </x:is>
      </x:c>
      <x:c r="D10" t="inlineStr">
        <x:is>
          <x:t xml:space="preserve">High</x:t>
        </x:is>
      </x:c>
      <x:c r="E10" t="inlineStr">
        <x:is>
          <x:t xml:space="preserve">40</x:t>
        </x:is>
      </x:c>
      <x:c r="F10" t="n">
        <x:v>180</x:v>
      </x:c>
      <x:c r="G10" t="inlineStr">
        <x:is>
          <x:t xml:space="preserve">T0</x:t>
        </x:is>
      </x:c>
      <x:c r="H10" t="inlineStr">
        <x:is>
          <x:t xml:space="preserve">2026-01-31</x:t>
        </x:is>
      </x:c>
      <x:c r="I10" t="inlineStr">
        <x:is>
          <x:t xml:space="preserve">Management</x:t>
        </x:is>
      </x:c>
      <x:c r="J10" t="inlineStr">
        <x:is>
          <x:t xml:space="preserve">Mgmt policy or practice</x:t>
        </x:is>
      </x:c>
      <x:c r="K10" t="inlineStr">
        <x:is>
          <x:t xml:space="preserve">Collect: Mgmt policy or practice; capture decision in SOP; update RBAC/workflows.</x:t>
        </x:is>
      </x:c>
    </x:row>
    <x:row r="11">
      <x:c r="A11" t="n">
        <x:v>10</x:v>
      </x:c>
      <x:c r="B11" t="inlineStr">
        <x:is>
          <x:t xml:space="preserve">U-015</x:t>
        </x:is>
      </x:c>
      <x:c r="C11" t="inlineStr">
        <x:is>
          <x:t xml:space="preserve">Deployment</x:t>
        </x:is>
      </x:c>
      <x:c r="D11" t="inlineStr">
        <x:is>
          <x:t xml:space="preserve">High</x:t>
        </x:is>
      </x:c>
      <x:c r="E11" t="inlineStr">
        <x:is>
          <x:t xml:space="preserve">40</x:t>
        </x:is>
      </x:c>
      <x:c r="F11" t="n">
        <x:v>180</x:v>
      </x:c>
      <x:c r="G11" t="inlineStr">
        <x:is>
          <x:t xml:space="preserve">T0</x:t>
        </x:is>
      </x:c>
      <x:c r="H11" t="inlineStr">
        <x:is>
          <x:t xml:space="preserve">2026-01-31</x:t>
        </x:is>
      </x:c>
      <x:c r="I11" t="inlineStr">
        <x:is>
          <x:t xml:space="preserve">IT Lead</x:t>
        </x:is>
      </x:c>
      <x:c r="J11" t="inlineStr">
        <x:is>
          <x:t xml:space="preserve">IT decision</x:t>
        </x:is>
      </x:c>
      <x:c r="K11" t="inlineStr">
        <x:is>
          <x:t xml:space="preserve">Collect: IT decision; capture decision in SOP; update RBAC/workflows.</x:t>
        </x:is>
      </x:c>
    </x:row>
    <x:row r="12">
      <x:c r="A12" t="n">
        <x:v>11</x:v>
      </x:c>
      <x:c r="B12" t="inlineStr">
        <x:is>
          <x:t xml:space="preserve">U-028</x:t>
        </x:is>
      </x:c>
      <x:c r="C12" t="inlineStr">
        <x:is>
          <x:t xml:space="preserve">Security</x:t>
        </x:is>
      </x:c>
      <x:c r="D12" t="inlineStr">
        <x:is>
          <x:t xml:space="preserve">High</x:t>
        </x:is>
      </x:c>
      <x:c r="E12" t="inlineStr">
        <x:is>
          <x:t xml:space="preserve">40</x:t>
        </x:is>
      </x:c>
      <x:c r="F12" t="n">
        <x:v>180</x:v>
      </x:c>
      <x:c r="G12" t="inlineStr">
        <x:is>
          <x:t xml:space="preserve">T0</x:t>
        </x:is>
      </x:c>
      <x:c r="H12" t="inlineStr">
        <x:is>
          <x:t xml:space="preserve">2026-01-31</x:t>
        </x:is>
      </x:c>
      <x:c r="I12" t="inlineStr">
        <x:is>
          <x:t xml:space="preserve">Management</x:t>
        </x:is>
      </x:c>
      <x:c r="J12" t="inlineStr">
        <x:is>
          <x:t xml:space="preserve">SOP</x:t>
        </x:is>
      </x:c>
      <x:c r="K12" t="inlineStr">
        <x:is>
          <x:t xml:space="preserve">Collect: SOP; capture decision in SOP; update RBAC/workflows.</x:t>
        </x:is>
      </x:c>
    </x:row>
    <x:row r="13">
      <x:c r="A13" t="n">
        <x:v>12</x:v>
      </x:c>
      <x:c r="B13" t="inlineStr">
        <x:is>
          <x:t xml:space="preserve">U-050</x:t>
        </x:is>
      </x:c>
      <x:c r="C13" t="inlineStr">
        <x:is>
          <x:t xml:space="preserve">Deployment</x:t>
        </x:is>
      </x:c>
      <x:c r="D13" t="inlineStr">
        <x:is>
          <x:t xml:space="preserve">High</x:t>
        </x:is>
      </x:c>
      <x:c r="E13" t="inlineStr">
        <x:is>
          <x:t xml:space="preserve">40</x:t>
        </x:is>
      </x:c>
      <x:c r="F13" t="n">
        <x:v>180</x:v>
      </x:c>
      <x:c r="G13" t="inlineStr">
        <x:is>
          <x:t xml:space="preserve">T0</x:t>
        </x:is>
      </x:c>
      <x:c r="H13" t="inlineStr">
        <x:is>
          <x:t xml:space="preserve">2026-01-31</x:t>
        </x:is>
      </x:c>
      <x:c r="I13" t="inlineStr">
        <x:is>
          <x:t xml:space="preserve">IT Lead</x:t>
        </x:is>
      </x:c>
      <x:c r="J13" t="inlineStr">
        <x:is>
          <x:t xml:space="preserve">IT policy</x:t>
        </x:is>
      </x:c>
      <x:c r="K13" t="inlineStr">
        <x:is>
          <x:t xml:space="preserve">Collect: IT policy; capture decision in SOP; update RBAC/workflows.</x:t>
        </x:is>
      </x:c>
    </x:row>
    <x:row r="14">
      <x:c r="A14" t="n">
        <x:v>13</x:v>
      </x:c>
      <x:c r="B14" t="inlineStr">
        <x:is>
          <x:t xml:space="preserve">U-005</x:t>
        </x:is>
      </x:c>
      <x:c r="C14" t="inlineStr">
        <x:is>
          <x:t xml:space="preserve">Ops</x:t>
        </x:is>
      </x:c>
      <x:c r="D14" t="inlineStr">
        <x:is>
          <x:t xml:space="preserve">High</x:t>
        </x:is>
      </x:c>
      <x:c r="E14" t="inlineStr">
        <x:is>
          <x:t xml:space="preserve">45</x:t>
        </x:is>
      </x:c>
      <x:c r="F14" t="n">
        <x:v>165</x:v>
      </x:c>
      <x:c r="G14" t="inlineStr">
        <x:is>
          <x:t xml:space="preserve">T0</x:t>
        </x:is>
      </x:c>
      <x:c r="H14" t="inlineStr">
        <x:is>
          <x:t xml:space="preserve">2026-01-31</x:t>
        </x:is>
      </x:c>
      <x:c r="I14" t="inlineStr">
        <x:is>
          <x:t xml:space="preserve">BD/PMO</x:t>
        </x:is>
      </x:c>
      <x:c r="J14" t="inlineStr">
        <x:is>
          <x:t xml:space="preserve">Process walkthrough</x:t>
        </x:is>
      </x:c>
      <x:c r="K14" t="inlineStr">
        <x:is>
          <x:t xml:space="preserve">Collect: Process walkthrough; capture decision in SOP; update RBAC/workflows.</x:t>
        </x:is>
      </x:c>
    </x:row>
    <x:row r="15">
      <x:c r="A15" t="n">
        <x:v>14</x:v>
      </x:c>
      <x:c r="B15" t="inlineStr">
        <x:is>
          <x:t xml:space="preserve">U-009</x:t>
        </x:is>
      </x:c>
      <x:c r="C15" t="inlineStr">
        <x:is>
          <x:t xml:space="preserve">Notifications</x:t>
        </x:is>
      </x:c>
      <x:c r="D15" t="inlineStr">
        <x:is>
          <x:t xml:space="preserve">High</x:t>
        </x:is>
      </x:c>
      <x:c r="E15" t="inlineStr">
        <x:is>
          <x:t xml:space="preserve">45</x:t>
        </x:is>
      </x:c>
      <x:c r="F15" t="n">
        <x:v>165</x:v>
      </x:c>
      <x:c r="G15" t="inlineStr">
        <x:is>
          <x:t xml:space="preserve">T0</x:t>
        </x:is>
      </x:c>
      <x:c r="H15" t="inlineStr">
        <x:is>
          <x:t xml:space="preserve">2026-01-31</x:t>
        </x:is>
      </x:c>
      <x:c r="I15" t="inlineStr">
        <x:is>
          <x:t xml:space="preserve">Management</x:t>
        </x:is>
      </x:c>
      <x:c r="J15" t="inlineStr">
        <x:is>
          <x:t xml:space="preserve">Mgmt preference</x:t>
        </x:is>
      </x:c>
      <x:c r="K15" t="inlineStr">
        <x:is>
          <x:t xml:space="preserve">Collect: Mgmt preference; capture decision in SOP; update RBAC/workflows.</x:t>
        </x:is>
      </x:c>
    </x:row>
    <x:row r="16">
      <x:c r="A16" t="n">
        <x:v>15</x:v>
      </x:c>
      <x:c r="B16" t="inlineStr">
        <x:is>
          <x:t xml:space="preserve">U-041</x:t>
        </x:is>
      </x:c>
      <x:c r="C16" t="inlineStr">
        <x:is>
          <x:t xml:space="preserve">Docs/RAG</x:t>
        </x:is>
      </x:c>
      <x:c r="D16" t="inlineStr">
        <x:is>
          <x:t xml:space="preserve">High</x:t>
        </x:is>
      </x:c>
      <x:c r="E16" t="inlineStr">
        <x:is>
          <x:t xml:space="preserve">45</x:t>
        </x:is>
      </x:c>
      <x:c r="F16" t="n">
        <x:v>165</x:v>
      </x:c>
      <x:c r="G16" t="inlineStr">
        <x:is>
          <x:t xml:space="preserve">T0</x:t>
        </x:is>
      </x:c>
      <x:c r="H16" t="inlineStr">
        <x:is>
          <x:t xml:space="preserve">2026-01-31</x:t>
        </x:is>
      </x:c>
      <x:c r="I16" t="inlineStr">
        <x:is>
          <x:t xml:space="preserve">Compliance</x:t>
        </x:is>
      </x:c>
      <x:c r="J16" t="inlineStr">
        <x:is>
          <x:t xml:space="preserve">Policy</x:t>
        </x:is>
      </x:c>
      <x:c r="K16" t="inlineStr">
        <x:is>
          <x:t xml:space="preserve">Collect: Policy; capture decision in SOP; update RBAC/workflows.</x:t>
        </x:is>
      </x:c>
    </x:row>
  </x:sheetData>
  <x:pageMargins left="0.7" right="0.7" top="0.75" bottom="0.75" header="0.3" footer="0.3"/>
</x:worksheet>
</file>

<file path=xl/worksheets/sheet14.xml><?xml version="1.0" encoding="utf-8"?>
<x:worksheet xmlns:x="http://schemas.openxmlformats.org/spreadsheetml/2006/main">
  <x:sheetFormatPr defaultRowHeight="15"/>
  <x:sheetData>
    <x:row r="1">
      <x:c r="A1" t="inlineStr">
        <x:is>
          <x:t xml:space="preserve">ControlID</x:t>
        </x:is>
      </x:c>
      <x:c r="B1" t="inlineStr">
        <x:is>
          <x:t xml:space="preserve">ControlFamily</x:t>
        </x:is>
      </x:c>
      <x:c r="C1" t="inlineStr">
        <x:is>
          <x:t xml:space="preserve">Control</x:t>
        </x:is>
      </x:c>
      <x:c r="D1" t="inlineStr">
        <x:is>
          <x:t xml:space="preserve">CurrentReviewFreq</x:t>
        </x:is>
      </x:c>
      <x:c r="E1" t="inlineStr">
        <x:is>
          <x:t xml:space="preserve">ProposedReviewFreq</x:t>
        </x:is>
      </x:c>
      <x:c r="F1" t="inlineStr">
        <x:is>
          <x:t xml:space="preserve">CurrentPriority</x:t>
        </x:is>
      </x:c>
      <x:c r="G1" t="inlineStr">
        <x:is>
          <x:t xml:space="preserve">ProposedPriority</x:t>
        </x:is>
      </x:c>
      <x:c r="H1" t="inlineStr">
        <x:is>
          <x:t xml:space="preserve">CurrentOwner</x:t>
        </x:is>
      </x:c>
      <x:c r="I1" t="inlineStr">
        <x:is>
          <x:t xml:space="preserve">ProposedOwner</x:t>
        </x:is>
      </x:c>
      <x:c r="J1" t="inlineStr">
        <x:is>
          <x:t xml:space="preserve">ProposedGateIDs</x:t>
        </x:is>
      </x:c>
      <x:c r="K1" t="inlineStr">
        <x:is>
          <x:t xml:space="preserve">ProposedSegmentIDs</x:t>
        </x:is>
      </x:c>
      <x:c r="L1" t="inlineStr">
        <x:is>
          <x:t xml:space="preserve">Rationale</x:t>
        </x:is>
      </x:c>
    </x:row>
    <x:row r="2">
      <x:c r="A2" t="inlineStr">
        <x:is>
          <x:t xml:space="preserve">AAC-01</x:t>
        </x:is>
      </x:c>
      <x:c r="B2" t="inlineStr">
        <x:is>
          <x:t xml:space="preserve">AAC</x:t>
        </x:is>
      </x:c>
      <x:c r="C2" t="inlineStr">
        <x:is>
          <x:t xml:space="preserve">Audit Planning</x:t>
        </x:is>
      </x:c>
      <x:c r="D2" t="inlineStr">
        <x:is>
          <x:t xml:space="preserve"/>
        </x:is>
      </x:c>
      <x:c r="E2" t="inlineStr">
        <x:is>
          <x:t xml:space="preserve">Annual</x:t>
        </x:is>
      </x:c>
      <x:c r="F2" t="inlineStr">
        <x:is>
          <x:t xml:space="preserve"/>
        </x:is>
      </x:c>
      <x:c r="G2" t="inlineStr">
        <x:is>
          <x:t xml:space="preserve">P1</x:t>
        </x:is>
      </x:c>
      <x:c r="H2" t="inlineStr">
        <x:is>
          <x:t xml:space="preserve"/>
        </x:is>
      </x:c>
      <x:c r="I2" t="inlineStr">
        <x:is>
          <x:t xml:space="preserve">Compliance</x:t>
        </x:is>
      </x:c>
      <x:c r="J2" t="inlineStr">
        <x:is>
          <x:t xml:space="preserve">G7.QUALITY_SCORE</x:t>
        </x:is>
      </x:c>
      <x:c r="K2" t="inlineStr">
        <x:is>
          <x:t xml:space="preserve">E17</x:t>
        </x:is>
      </x:c>
      <x:c r="L2" t="inlineStr">
        <x:is>
          <x:t xml:space="preserve">Autofill based on control family defaults; verify with HITL before enforce.</x:t>
        </x:is>
      </x:c>
    </x:row>
    <x:row r="3">
      <x:c r="A3" t="inlineStr">
        <x:is>
          <x:t xml:space="preserve">AAC-02</x:t>
        </x:is>
      </x:c>
      <x:c r="B3" t="inlineStr">
        <x:is>
          <x:t xml:space="preserve">AAC</x:t>
        </x:is>
      </x:c>
      <x:c r="C3" t="inlineStr">
        <x:is>
          <x:t xml:space="preserve">Independent Audits</x:t>
        </x:is>
      </x:c>
      <x:c r="D3" t="inlineStr">
        <x:is>
          <x:t xml:space="preserve">Annual</x:t>
        </x:is>
      </x:c>
      <x:c r="E3" t="inlineStr">
        <x:is>
          <x:t xml:space="preserve">Annual</x:t>
        </x:is>
      </x:c>
      <x:c r="F3" t="inlineStr">
        <x:is>
          <x:t xml:space="preserve"/>
        </x:is>
      </x:c>
      <x:c r="G3" t="inlineStr">
        <x:is>
          <x:t xml:space="preserve">P1</x:t>
        </x:is>
      </x:c>
      <x:c r="H3" t="inlineStr">
        <x:is>
          <x:t xml:space="preserve"/>
        </x:is>
      </x:c>
      <x:c r="I3" t="inlineStr">
        <x:is>
          <x:t xml:space="preserve">Compliance</x:t>
        </x:is>
      </x:c>
      <x:c r="J3" t="inlineStr">
        <x:is>
          <x:t xml:space="preserve">G7.QUALITY_SCORE</x:t>
        </x:is>
      </x:c>
      <x:c r="K3" t="inlineStr">
        <x:is>
          <x:t xml:space="preserve">E17</x:t>
        </x:is>
      </x:c>
      <x:c r="L3" t="inlineStr">
        <x:is>
          <x:t xml:space="preserve">Autofill based on control family defaults; verify with HITL before enforce.</x:t>
        </x:is>
      </x:c>
    </x:row>
    <x:row r="4">
      <x:c r="A4" t="inlineStr">
        <x:is>
          <x:t xml:space="preserve">AAC-03</x:t>
        </x:is>
      </x:c>
      <x:c r="B4" t="inlineStr">
        <x:is>
          <x:t xml:space="preserve">AAC</x:t>
        </x:is>
      </x:c>
      <x:c r="C4" t="inlineStr">
        <x:is>
          <x:t xml:space="preserve">Information System Regulatory Mapping</x:t>
        </x:is>
      </x:c>
      <x:c r="D4" t="inlineStr">
        <x:is>
          <x:t xml:space="preserve">Annual</x:t>
        </x:is>
      </x:c>
      <x:c r="E4" t="inlineStr">
        <x:is>
          <x:t xml:space="preserve">Annual</x:t>
        </x:is>
      </x:c>
      <x:c r="F4" t="inlineStr">
        <x:is>
          <x:t xml:space="preserve"/>
        </x:is>
      </x:c>
      <x:c r="G4" t="inlineStr">
        <x:is>
          <x:t xml:space="preserve">P1</x:t>
        </x:is>
      </x:c>
      <x:c r="H4" t="inlineStr">
        <x:is>
          <x:t xml:space="preserve"/>
        </x:is>
      </x:c>
      <x:c r="I4" t="inlineStr">
        <x:is>
          <x:t xml:space="preserve">Compliance</x:t>
        </x:is>
      </x:c>
      <x:c r="J4" t="inlineStr">
        <x:is>
          <x:t xml:space="preserve">G7.QUALITY_SCORE</x:t>
        </x:is>
      </x:c>
      <x:c r="K4" t="inlineStr">
        <x:is>
          <x:t xml:space="preserve">E17</x:t>
        </x:is>
      </x:c>
      <x:c r="L4" t="inlineStr">
        <x:is>
          <x:t xml:space="preserve">Autofill based on control family defaults; verify with HITL before enforce.</x:t>
        </x:is>
      </x:c>
    </x:row>
    <x:row r="5">
      <x:c r="A5" t="inlineStr">
        <x:is>
          <x:t xml:space="preserve">BCR-01</x:t>
        </x:is>
      </x:c>
      <x:c r="B5" t="inlineStr">
        <x:is>
          <x:t xml:space="preserve">BCR</x:t>
        </x:is>
      </x:c>
      <x:c r="C5" t="inlineStr">
        <x:is>
          <x:t xml:space="preserve">Business Continuity Planning</x:t>
        </x:is>
      </x:c>
      <x:c r="D5" t="inlineStr">
        <x:is>
          <x:t xml:space="preserve"/>
        </x:is>
      </x:c>
      <x:c r="E5" t="inlineStr">
        <x:is>
          <x:t xml:space="preserve">Annual</x:t>
        </x:is>
      </x:c>
      <x:c r="F5" t="inlineStr">
        <x:is>
          <x:t xml:space="preserve"/>
        </x:is>
      </x:c>
      <x:c r="G5" t="inlineStr">
        <x:is>
          <x:t xml:space="preserve">P1</x:t>
        </x:is>
      </x:c>
      <x:c r="H5" t="inlineStr">
        <x:is>
          <x:t xml:space="preserve"/>
        </x:is>
      </x:c>
      <x:c r="I5" t="inlineStr">
        <x:is>
          <x:t xml:space="preserve">Compliance/IT</x:t>
        </x:is>
      </x:c>
      <x:c r="J5" t="inlineStr">
        <x:is>
          <x:t xml:space="preserve">G4.RISK_COMPLIANCE</x:t>
        </x:is>
      </x:c>
      <x:c r="K5" t="inlineStr">
        <x:is>
          <x:t xml:space="preserve">E18</x:t>
        </x:is>
      </x:c>
      <x:c r="L5" t="inlineStr">
        <x:is>
          <x:t xml:space="preserve">Autofill based on control family defaults; verify with HITL before enforce.</x:t>
        </x:is>
      </x:c>
    </x:row>
    <x:row r="6">
      <x:c r="A6" t="inlineStr">
        <x:is>
          <x:t xml:space="preserve">BCR-02</x:t>
        </x:is>
      </x:c>
      <x:c r="B6" t="inlineStr">
        <x:is>
          <x:t xml:space="preserve">BCR</x:t>
        </x:is>
      </x:c>
      <x:c r="C6" t="inlineStr">
        <x:is>
          <x:t xml:space="preserve">Business Continuity Testing</x:t>
        </x:is>
      </x:c>
      <x:c r="D6" t="inlineStr">
        <x:is>
          <x:t xml:space="preserve">Planned intervals</x:t>
        </x:is>
      </x:c>
      <x:c r="E6" t="inlineStr">
        <x:is>
          <x:t xml:space="preserve">Annual</x:t>
        </x:is>
      </x:c>
      <x:c r="F6" t="inlineStr">
        <x:is>
          <x:t xml:space="preserve"/>
        </x:is>
      </x:c>
      <x:c r="G6" t="inlineStr">
        <x:is>
          <x:t xml:space="preserve">P1</x:t>
        </x:is>
      </x:c>
      <x:c r="H6" t="inlineStr">
        <x:is>
          <x:t xml:space="preserve"/>
        </x:is>
      </x:c>
      <x:c r="I6" t="inlineStr">
        <x:is>
          <x:t xml:space="preserve">Compliance/IT</x:t>
        </x:is>
      </x:c>
      <x:c r="J6" t="inlineStr">
        <x:is>
          <x:t xml:space="preserve">G4.RISK_COMPLIANCE</x:t>
        </x:is>
      </x:c>
      <x:c r="K6" t="inlineStr">
        <x:is>
          <x:t xml:space="preserve">E18</x:t>
        </x:is>
      </x:c>
      <x:c r="L6" t="inlineStr">
        <x:is>
          <x:t xml:space="preserve">Autofill based on control family defaults; verify with HITL before enforce.</x:t>
        </x:is>
      </x:c>
    </x:row>
    <x:row r="7">
      <x:c r="A7" t="inlineStr">
        <x:is>
          <x:t xml:space="preserve">BCR-03</x:t>
        </x:is>
      </x:c>
      <x:c r="B7" t="inlineStr">
        <x:is>
          <x:t xml:space="preserve">BCR</x:t>
        </x:is>
      </x:c>
      <x:c r="C7" t="inlineStr">
        <x:is>
          <x:t xml:space="preserve">Datacenter Utilities / Environmental Conditions</x:t>
        </x:is>
      </x:c>
      <x:c r="D7" t="inlineStr">
        <x:is>
          <x:t xml:space="preserve">Planned intervals</x:t>
        </x:is>
      </x:c>
      <x:c r="E7" t="inlineStr">
        <x:is>
          <x:t xml:space="preserve">Annual</x:t>
        </x:is>
      </x:c>
      <x:c r="F7" t="inlineStr">
        <x:is>
          <x:t xml:space="preserve"/>
        </x:is>
      </x:c>
      <x:c r="G7" t="inlineStr">
        <x:is>
          <x:t xml:space="preserve">P1</x:t>
        </x:is>
      </x:c>
      <x:c r="H7" t="inlineStr">
        <x:is>
          <x:t xml:space="preserve"/>
        </x:is>
      </x:c>
      <x:c r="I7" t="inlineStr">
        <x:is>
          <x:t xml:space="preserve">Compliance/IT</x:t>
        </x:is>
      </x:c>
      <x:c r="J7" t="inlineStr">
        <x:is>
          <x:t xml:space="preserve">G4.RISK_COMPLIANCE</x:t>
        </x:is>
      </x:c>
      <x:c r="K7" t="inlineStr">
        <x:is>
          <x:t xml:space="preserve">E18</x:t>
        </x:is>
      </x:c>
      <x:c r="L7" t="inlineStr">
        <x:is>
          <x:t xml:space="preserve">Autofill based on control family defaults; verify with HITL before enforce.</x:t>
        </x:is>
      </x:c>
    </x:row>
    <x:row r="8">
      <x:c r="A8" t="inlineStr">
        <x:is>
          <x:t xml:space="preserve">BCR-04</x:t>
        </x:is>
      </x:c>
      <x:c r="B8" t="inlineStr">
        <x:is>
          <x:t xml:space="preserve">BCR</x:t>
        </x:is>
      </x:c>
      <x:c r="C8" t="inlineStr">
        <x:is>
          <x:t xml:space="preserve">Documentation</x:t>
        </x:is>
      </x:c>
      <x:c r="D8" t="inlineStr">
        <x:is>
          <x:t xml:space="preserve"/>
        </x:is>
      </x:c>
      <x:c r="E8" t="inlineStr">
        <x:is>
          <x:t xml:space="preserve">Annual</x:t>
        </x:is>
      </x:c>
      <x:c r="F8" t="inlineStr">
        <x:is>
          <x:t xml:space="preserve"/>
        </x:is>
      </x:c>
      <x:c r="G8" t="inlineStr">
        <x:is>
          <x:t xml:space="preserve">P1</x:t>
        </x:is>
      </x:c>
      <x:c r="H8" t="inlineStr">
        <x:is>
          <x:t xml:space="preserve"/>
        </x:is>
      </x:c>
      <x:c r="I8" t="inlineStr">
        <x:is>
          <x:t xml:space="preserve">Compliance/IT</x:t>
        </x:is>
      </x:c>
      <x:c r="J8" t="inlineStr">
        <x:is>
          <x:t xml:space="preserve">G4.RISK_COMPLIANCE</x:t>
        </x:is>
      </x:c>
      <x:c r="K8" t="inlineStr">
        <x:is>
          <x:t xml:space="preserve">E18</x:t>
        </x:is>
      </x:c>
      <x:c r="L8" t="inlineStr">
        <x:is>
          <x:t xml:space="preserve">Autofill based on control family defaults; verify with HITL before enforce.</x:t>
        </x:is>
      </x:c>
    </x:row>
    <x:row r="9">
      <x:c r="A9" t="inlineStr">
        <x:is>
          <x:t xml:space="preserve">BCR-05</x:t>
        </x:is>
      </x:c>
      <x:c r="B9" t="inlineStr">
        <x:is>
          <x:t xml:space="preserve">BCR</x:t>
        </x:is>
      </x:c>
      <x:c r="C9" t="inlineStr">
        <x:is>
          <x:t xml:space="preserve">Environmental Risks</x:t>
        </x:is>
      </x:c>
      <x:c r="D9" t="inlineStr">
        <x:is>
          <x:t xml:space="preserve"/>
        </x:is>
      </x:c>
      <x:c r="E9" t="inlineStr">
        <x:is>
          <x:t xml:space="preserve">Annual</x:t>
        </x:is>
      </x:c>
      <x:c r="F9" t="inlineStr">
        <x:is>
          <x:t xml:space="preserve"/>
        </x:is>
      </x:c>
      <x:c r="G9" t="inlineStr">
        <x:is>
          <x:t xml:space="preserve">P1</x:t>
        </x:is>
      </x:c>
      <x:c r="H9" t="inlineStr">
        <x:is>
          <x:t xml:space="preserve"/>
        </x:is>
      </x:c>
      <x:c r="I9" t="inlineStr">
        <x:is>
          <x:t xml:space="preserve">Compliance/IT</x:t>
        </x:is>
      </x:c>
      <x:c r="J9" t="inlineStr">
        <x:is>
          <x:t xml:space="preserve">G4.RISK_COMPLIANCE</x:t>
        </x:is>
      </x:c>
      <x:c r="K9" t="inlineStr">
        <x:is>
          <x:t xml:space="preserve">E18</x:t>
        </x:is>
      </x:c>
      <x:c r="L9" t="inlineStr">
        <x:is>
          <x:t xml:space="preserve">Autofill based on control family defaults; verify with HITL before enforce.</x:t>
        </x:is>
      </x:c>
    </x:row>
    <x:row r="10">
      <x:c r="A10" t="inlineStr">
        <x:is>
          <x:t xml:space="preserve">BCR-06</x:t>
        </x:is>
      </x:c>
      <x:c r="B10" t="inlineStr">
        <x:is>
          <x:t xml:space="preserve">BCR</x:t>
        </x:is>
      </x:c>
      <x:c r="C10" t="inlineStr">
        <x:is>
          <x:t xml:space="preserve">Equipment Location</x:t>
        </x:is>
      </x:c>
      <x:c r="D10" t="inlineStr">
        <x:is>
          <x:t xml:space="preserve"/>
        </x:is>
      </x:c>
      <x:c r="E10" t="inlineStr">
        <x:is>
          <x:t xml:space="preserve">Annual</x:t>
        </x:is>
      </x:c>
      <x:c r="F10" t="inlineStr">
        <x:is>
          <x:t xml:space="preserve"/>
        </x:is>
      </x:c>
      <x:c r="G10" t="inlineStr">
        <x:is>
          <x:t xml:space="preserve">P1</x:t>
        </x:is>
      </x:c>
      <x:c r="H10" t="inlineStr">
        <x:is>
          <x:t xml:space="preserve"/>
        </x:is>
      </x:c>
      <x:c r="I10" t="inlineStr">
        <x:is>
          <x:t xml:space="preserve">Compliance/IT</x:t>
        </x:is>
      </x:c>
      <x:c r="J10" t="inlineStr">
        <x:is>
          <x:t xml:space="preserve">G4.RISK_COMPLIANCE</x:t>
        </x:is>
      </x:c>
      <x:c r="K10" t="inlineStr">
        <x:is>
          <x:t xml:space="preserve">E18</x:t>
        </x:is>
      </x:c>
      <x:c r="L10" t="inlineStr">
        <x:is>
          <x:t xml:space="preserve">Autofill based on control family defaults; verify with HITL before enforce.</x:t>
        </x:is>
      </x:c>
    </x:row>
    <x:row r="11">
      <x:c r="A11" t="inlineStr">
        <x:is>
          <x:t xml:space="preserve">BCR-07</x:t>
        </x:is>
      </x:c>
      <x:c r="B11" t="inlineStr">
        <x:is>
          <x:t xml:space="preserve">BCR</x:t>
        </x:is>
      </x:c>
      <x:c r="C11" t="inlineStr">
        <x:is>
          <x:t xml:space="preserve">Equipment Maintenance</x:t>
        </x:is>
      </x:c>
      <x:c r="D11" t="inlineStr">
        <x:is>
          <x:t xml:space="preserve"/>
        </x:is>
      </x:c>
      <x:c r="E11" t="inlineStr">
        <x:is>
          <x:t xml:space="preserve">Annual</x:t>
        </x:is>
      </x:c>
      <x:c r="F11" t="inlineStr">
        <x:is>
          <x:t xml:space="preserve"/>
        </x:is>
      </x:c>
      <x:c r="G11" t="inlineStr">
        <x:is>
          <x:t xml:space="preserve">P1</x:t>
        </x:is>
      </x:c>
      <x:c r="H11" t="inlineStr">
        <x:is>
          <x:t xml:space="preserve"/>
        </x:is>
      </x:c>
      <x:c r="I11" t="inlineStr">
        <x:is>
          <x:t xml:space="preserve">Compliance/IT</x:t>
        </x:is>
      </x:c>
      <x:c r="J11" t="inlineStr">
        <x:is>
          <x:t xml:space="preserve">G4.RISK_COMPLIANCE</x:t>
        </x:is>
      </x:c>
      <x:c r="K11" t="inlineStr">
        <x:is>
          <x:t xml:space="preserve">E18</x:t>
        </x:is>
      </x:c>
      <x:c r="L11" t="inlineStr">
        <x:is>
          <x:t xml:space="preserve">Autofill based on control family defaults; verify with HITL before enforce.</x:t>
        </x:is>
      </x:c>
    </x:row>
    <x:row r="12">
      <x:c r="A12" t="inlineStr">
        <x:is>
          <x:t xml:space="preserve">BCR-08</x:t>
        </x:is>
      </x:c>
      <x:c r="B12" t="inlineStr">
        <x:is>
          <x:t xml:space="preserve">BCR</x:t>
        </x:is>
      </x:c>
      <x:c r="C12" t="inlineStr">
        <x:is>
          <x:t xml:space="preserve">Equipment Power Failures</x:t>
        </x:is>
      </x:c>
      <x:c r="D12" t="inlineStr">
        <x:is>
          <x:t xml:space="preserve"/>
        </x:is>
      </x:c>
      <x:c r="E12" t="inlineStr">
        <x:is>
          <x:t xml:space="preserve">Annual</x:t>
        </x:is>
      </x:c>
      <x:c r="F12" t="inlineStr">
        <x:is>
          <x:t xml:space="preserve"/>
        </x:is>
      </x:c>
      <x:c r="G12" t="inlineStr">
        <x:is>
          <x:t xml:space="preserve">P1</x:t>
        </x:is>
      </x:c>
      <x:c r="H12" t="inlineStr">
        <x:is>
          <x:t xml:space="preserve"/>
        </x:is>
      </x:c>
      <x:c r="I12" t="inlineStr">
        <x:is>
          <x:t xml:space="preserve">Compliance/IT</x:t>
        </x:is>
      </x:c>
      <x:c r="J12" t="inlineStr">
        <x:is>
          <x:t xml:space="preserve">G4.RISK_COMPLIANCE</x:t>
        </x:is>
      </x:c>
      <x:c r="K12" t="inlineStr">
        <x:is>
          <x:t xml:space="preserve">E18</x:t>
        </x:is>
      </x:c>
      <x:c r="L12" t="inlineStr">
        <x:is>
          <x:t xml:space="preserve">Autofill based on control family defaults; verify with HITL before enforce.</x:t>
        </x:is>
      </x:c>
    </x:row>
    <x:row r="13">
      <x:c r="A13" t="inlineStr">
        <x:is>
          <x:t xml:space="preserve">BCR-09</x:t>
        </x:is>
      </x:c>
      <x:c r="B13" t="inlineStr">
        <x:is>
          <x:t xml:space="preserve">BCR</x:t>
        </x:is>
      </x:c>
      <x:c r="C13" t="inlineStr">
        <x:is>
          <x:t xml:space="preserve">Impact Analysis</x:t>
        </x:is>
      </x:c>
      <x:c r="D13" t="inlineStr">
        <x:is>
          <x:t xml:space="preserve"/>
        </x:is>
      </x:c>
      <x:c r="E13" t="inlineStr">
        <x:is>
          <x:t xml:space="preserve">Annual</x:t>
        </x:is>
      </x:c>
      <x:c r="F13" t="inlineStr">
        <x:is>
          <x:t xml:space="preserve"/>
        </x:is>
      </x:c>
      <x:c r="G13" t="inlineStr">
        <x:is>
          <x:t xml:space="preserve">P1</x:t>
        </x:is>
      </x:c>
      <x:c r="H13" t="inlineStr">
        <x:is>
          <x:t xml:space="preserve"/>
        </x:is>
      </x:c>
      <x:c r="I13" t="inlineStr">
        <x:is>
          <x:t xml:space="preserve">Compliance/IT</x:t>
        </x:is>
      </x:c>
      <x:c r="J13" t="inlineStr">
        <x:is>
          <x:t xml:space="preserve">G4.RISK_COMPLIANCE</x:t>
        </x:is>
      </x:c>
      <x:c r="K13" t="inlineStr">
        <x:is>
          <x:t xml:space="preserve">E18</x:t>
        </x:is>
      </x:c>
      <x:c r="L13" t="inlineStr">
        <x:is>
          <x:t xml:space="preserve">Autofill based on control family defaults; verify with HITL before enforce.</x:t>
        </x:is>
      </x:c>
    </x:row>
    <x:row r="14">
      <x:c r="A14" t="inlineStr">
        <x:is>
          <x:t xml:space="preserve">BCR-10</x:t>
        </x:is>
      </x:c>
      <x:c r="B14" t="inlineStr">
        <x:is>
          <x:t xml:space="preserve">BCR</x:t>
        </x:is>
      </x:c>
      <x:c r="C14" t="inlineStr">
        <x:is>
          <x:t xml:space="preserve">Policy</x:t>
        </x:is>
      </x:c>
      <x:c r="D14" t="inlineStr">
        <x:is>
          <x:t xml:space="preserve"/>
        </x:is>
      </x:c>
      <x:c r="E14" t="inlineStr">
        <x:is>
          <x:t xml:space="preserve">Annual</x:t>
        </x:is>
      </x:c>
      <x:c r="F14" t="inlineStr">
        <x:is>
          <x:t xml:space="preserve"/>
        </x:is>
      </x:c>
      <x:c r="G14" t="inlineStr">
        <x:is>
          <x:t xml:space="preserve">P1</x:t>
        </x:is>
      </x:c>
      <x:c r="H14" t="inlineStr">
        <x:is>
          <x:t xml:space="preserve"/>
        </x:is>
      </x:c>
      <x:c r="I14" t="inlineStr">
        <x:is>
          <x:t xml:space="preserve">Compliance/IT</x:t>
        </x:is>
      </x:c>
      <x:c r="J14" t="inlineStr">
        <x:is>
          <x:t xml:space="preserve">G4.RISK_COMPLIANCE</x:t>
        </x:is>
      </x:c>
      <x:c r="K14" t="inlineStr">
        <x:is>
          <x:t xml:space="preserve">E18</x:t>
        </x:is>
      </x:c>
      <x:c r="L14" t="inlineStr">
        <x:is>
          <x:t xml:space="preserve">Autofill based on control family defaults; verify with HITL before enforce.</x:t>
        </x:is>
      </x:c>
    </x:row>
    <x:row r="15">
      <x:c r="A15" t="inlineStr">
        <x:is>
          <x:t xml:space="preserve">BCR-11</x:t>
        </x:is>
      </x:c>
      <x:c r="B15" t="inlineStr">
        <x:is>
          <x:t xml:space="preserve">BCR</x:t>
        </x:is>
      </x:c>
      <x:c r="C15" t="inlineStr">
        <x:is>
          <x:t xml:space="preserve">Retention Policy</x:t>
        </x:is>
      </x:c>
      <x:c r="D15" t="inlineStr">
        <x:is>
          <x:t xml:space="preserve"/>
        </x:is>
      </x:c>
      <x:c r="E15" t="inlineStr">
        <x:is>
          <x:t xml:space="preserve">Annual</x:t>
        </x:is>
      </x:c>
      <x:c r="F15" t="inlineStr">
        <x:is>
          <x:t xml:space="preserve"/>
        </x:is>
      </x:c>
      <x:c r="G15" t="inlineStr">
        <x:is>
          <x:t xml:space="preserve">P1</x:t>
        </x:is>
      </x:c>
      <x:c r="H15" t="inlineStr">
        <x:is>
          <x:t xml:space="preserve"/>
        </x:is>
      </x:c>
      <x:c r="I15" t="inlineStr">
        <x:is>
          <x:t xml:space="preserve">Compliance/IT</x:t>
        </x:is>
      </x:c>
      <x:c r="J15" t="inlineStr">
        <x:is>
          <x:t xml:space="preserve">G4.RISK_COMPLIANCE</x:t>
        </x:is>
      </x:c>
      <x:c r="K15" t="inlineStr">
        <x:is>
          <x:t xml:space="preserve">E18</x:t>
        </x:is>
      </x:c>
      <x:c r="L15" t="inlineStr">
        <x:is>
          <x:t xml:space="preserve">Autofill based on control family defaults; verify with HITL before enforce.</x:t>
        </x:is>
      </x:c>
    </x:row>
    <x:row r="16">
      <x:c r="A16" t="inlineStr">
        <x:is>
          <x:t xml:space="preserve">CCC-01</x:t>
        </x:is>
      </x:c>
      <x:c r="B16" t="inlineStr">
        <x:is>
          <x:t xml:space="preserve">CCC</x:t>
        </x:is>
      </x:c>
      <x:c r="C16" t="inlineStr">
        <x:is>
          <x:t xml:space="preserve">New Development / Acquisition</x:t>
        </x:is>
      </x:c>
      <x:c r="D16" t="inlineStr">
        <x:is>
          <x:t xml:space="preserve"/>
        </x:is>
      </x:c>
      <x:c r="E16" t="inlineStr">
        <x:is>
          <x:t xml:space="preserve">Quarterly</x:t>
        </x:is>
      </x:c>
      <x:c r="F16" t="inlineStr">
        <x:is>
          <x:t xml:space="preserve"/>
        </x:is>
      </x:c>
      <x:c r="G16" t="inlineStr">
        <x:is>
          <x:t xml:space="preserve">P1</x:t>
        </x:is>
      </x:c>
      <x:c r="H16" t="inlineStr">
        <x:is>
          <x:t xml:space="preserve"/>
        </x:is>
      </x:c>
      <x:c r="I16" t="inlineStr">
        <x:is>
          <x:t xml:space="preserve">IT/Engineering</x:t>
        </x:is>
      </x:c>
      <x:c r="J16" t="inlineStr">
        <x:is>
          <x:t xml:space="preserve">G2.TIMELINE_INTEGRITY</x:t>
        </x:is>
      </x:c>
      <x:c r="K16" t="inlineStr">
        <x:is>
          <x:t xml:space="preserve">E7</x:t>
        </x:is>
      </x:c>
      <x:c r="L16" t="inlineStr">
        <x:is>
          <x:t xml:space="preserve">Autofill based on control family defaults; verify with HITL before enforce.</x:t>
        </x:is>
      </x:c>
    </x:row>
    <x:row r="17">
      <x:c r="A17" t="inlineStr">
        <x:is>
          <x:t xml:space="preserve">CCC-02</x:t>
        </x:is>
      </x:c>
      <x:c r="B17" t="inlineStr">
        <x:is>
          <x:t xml:space="preserve">CCC</x:t>
        </x:is>
      </x:c>
      <x:c r="C17" t="inlineStr">
        <x:is>
          <x:t xml:space="preserve">Outsourced Development</x:t>
        </x:is>
      </x:c>
      <x:c r="D17" t="inlineStr">
        <x:is>
          <x:t xml:space="preserve"/>
        </x:is>
      </x:c>
      <x:c r="E17" t="inlineStr">
        <x:is>
          <x:t xml:space="preserve">Quarterly</x:t>
        </x:is>
      </x:c>
      <x:c r="F17" t="inlineStr">
        <x:is>
          <x:t xml:space="preserve"/>
        </x:is>
      </x:c>
      <x:c r="G17" t="inlineStr">
        <x:is>
          <x:t xml:space="preserve">P1</x:t>
        </x:is>
      </x:c>
      <x:c r="H17" t="inlineStr">
        <x:is>
          <x:t xml:space="preserve"/>
        </x:is>
      </x:c>
      <x:c r="I17" t="inlineStr">
        <x:is>
          <x:t xml:space="preserve">IT/Engineering</x:t>
        </x:is>
      </x:c>
      <x:c r="J17" t="inlineStr">
        <x:is>
          <x:t xml:space="preserve">G2.TIMELINE_INTEGRITY</x:t>
        </x:is>
      </x:c>
      <x:c r="K17" t="inlineStr">
        <x:is>
          <x:t xml:space="preserve">E7</x:t>
        </x:is>
      </x:c>
      <x:c r="L17" t="inlineStr">
        <x:is>
          <x:t xml:space="preserve">Autofill based on control family defaults; verify with HITL before enforce.</x:t>
        </x:is>
      </x:c>
    </x:row>
    <x:row r="18">
      <x:c r="A18" t="inlineStr">
        <x:is>
          <x:t xml:space="preserve">CCC-03</x:t>
        </x:is>
      </x:c>
      <x:c r="B18" t="inlineStr">
        <x:is>
          <x:t xml:space="preserve">CCC</x:t>
        </x:is>
      </x:c>
      <x:c r="C18" t="inlineStr">
        <x:is>
          <x:t xml:space="preserve">Quality Testing</x:t>
        </x:is>
      </x:c>
      <x:c r="D18" t="inlineStr">
        <x:is>
          <x:t xml:space="preserve"/>
        </x:is>
      </x:c>
      <x:c r="E18" t="inlineStr">
        <x:is>
          <x:t xml:space="preserve">Quarterly</x:t>
        </x:is>
      </x:c>
      <x:c r="F18" t="inlineStr">
        <x:is>
          <x:t xml:space="preserve"/>
        </x:is>
      </x:c>
      <x:c r="G18" t="inlineStr">
        <x:is>
          <x:t xml:space="preserve">P1</x:t>
        </x:is>
      </x:c>
      <x:c r="H18" t="inlineStr">
        <x:is>
          <x:t xml:space="preserve"/>
        </x:is>
      </x:c>
      <x:c r="I18" t="inlineStr">
        <x:is>
          <x:t xml:space="preserve">IT/Engineering</x:t>
        </x:is>
      </x:c>
      <x:c r="J18" t="inlineStr">
        <x:is>
          <x:t xml:space="preserve">G2.TIMELINE_INTEGRITY</x:t>
        </x:is>
      </x:c>
      <x:c r="K18" t="inlineStr">
        <x:is>
          <x:t xml:space="preserve">E7</x:t>
        </x:is>
      </x:c>
      <x:c r="L18" t="inlineStr">
        <x:is>
          <x:t xml:space="preserve">Autofill based on control family defaults; verify with HITL before enforce.</x:t>
        </x:is>
      </x:c>
    </x:row>
    <x:row r="19">
      <x:c r="A19" t="inlineStr">
        <x:is>
          <x:t xml:space="preserve">CCC-04</x:t>
        </x:is>
      </x:c>
      <x:c r="B19" t="inlineStr">
        <x:is>
          <x:t xml:space="preserve">CCC</x:t>
        </x:is>
      </x:c>
      <x:c r="C19" t="inlineStr">
        <x:is>
          <x:t xml:space="preserve">Unauthorized Software Installations</x:t>
        </x:is>
      </x:c>
      <x:c r="D19" t="inlineStr">
        <x:is>
          <x:t xml:space="preserve"/>
        </x:is>
      </x:c>
      <x:c r="E19" t="inlineStr">
        <x:is>
          <x:t xml:space="preserve">Quarterly</x:t>
        </x:is>
      </x:c>
      <x:c r="F19" t="inlineStr">
        <x:is>
          <x:t xml:space="preserve"/>
        </x:is>
      </x:c>
      <x:c r="G19" t="inlineStr">
        <x:is>
          <x:t xml:space="preserve">P1</x:t>
        </x:is>
      </x:c>
      <x:c r="H19" t="inlineStr">
        <x:is>
          <x:t xml:space="preserve"/>
        </x:is>
      </x:c>
      <x:c r="I19" t="inlineStr">
        <x:is>
          <x:t xml:space="preserve">IT/Engineering</x:t>
        </x:is>
      </x:c>
      <x:c r="J19" t="inlineStr">
        <x:is>
          <x:t xml:space="preserve">G2.TIMELINE_INTEGRITY</x:t>
        </x:is>
      </x:c>
      <x:c r="K19" t="inlineStr">
        <x:is>
          <x:t xml:space="preserve">E7</x:t>
        </x:is>
      </x:c>
      <x:c r="L19" t="inlineStr">
        <x:is>
          <x:t xml:space="preserve">Autofill based on control family defaults; verify with HITL before enforce.</x:t>
        </x:is>
      </x:c>
    </x:row>
    <x:row r="20">
      <x:c r="A20" t="inlineStr">
        <x:is>
          <x:t xml:space="preserve">CCC-05</x:t>
        </x:is>
      </x:c>
      <x:c r="B20" t="inlineStr">
        <x:is>
          <x:t xml:space="preserve">CCC</x:t>
        </x:is>
      </x:c>
      <x:c r="C20" t="inlineStr">
        <x:is>
          <x:t xml:space="preserve">Production Changes</x:t>
        </x:is>
      </x:c>
      <x:c r="D20" t="inlineStr">
        <x:is>
          <x:t xml:space="preserve"/>
        </x:is>
      </x:c>
      <x:c r="E20" t="inlineStr">
        <x:is>
          <x:t xml:space="preserve">Quarterly</x:t>
        </x:is>
      </x:c>
      <x:c r="F20" t="inlineStr">
        <x:is>
          <x:t xml:space="preserve"/>
        </x:is>
      </x:c>
      <x:c r="G20" t="inlineStr">
        <x:is>
          <x:t xml:space="preserve">P1</x:t>
        </x:is>
      </x:c>
      <x:c r="H20" t="inlineStr">
        <x:is>
          <x:t xml:space="preserve"/>
        </x:is>
      </x:c>
      <x:c r="I20" t="inlineStr">
        <x:is>
          <x:t xml:space="preserve">IT/Engineering</x:t>
        </x:is>
      </x:c>
      <x:c r="J20" t="inlineStr">
        <x:is>
          <x:t xml:space="preserve">G2.TIMELINE_INTEGRITY</x:t>
        </x:is>
      </x:c>
      <x:c r="K20" t="inlineStr">
        <x:is>
          <x:t xml:space="preserve">E7</x:t>
        </x:is>
      </x:c>
      <x:c r="L20" t="inlineStr">
        <x:is>
          <x:t xml:space="preserve">Autofill based on control family defaults; verify with HITL before enforce.</x:t>
        </x:is>
      </x:c>
    </x:row>
    <x:row r="21">
      <x:c r="A21" t="inlineStr">
        <x:is>
          <x:t xml:space="preserve">DSI-01</x:t>
        </x:is>
      </x:c>
      <x:c r="B21" t="inlineStr">
        <x:is>
          <x:t xml:space="preserve">DSI</x:t>
        </x:is>
      </x:c>
      <x:c r="C21" t="inlineStr">
        <x:is>
          <x:t xml:space="preserve">Classification</x:t>
        </x:is>
      </x:c>
      <x:c r="D21" t="inlineStr">
        <x:is>
          <x:t xml:space="preserve"/>
        </x:is>
      </x:c>
      <x:c r="E21" t="inlineStr">
        <x:is>
          <x:t xml:space="preserve">Annual</x:t>
        </x:is>
      </x:c>
      <x:c r="F21" t="inlineStr">
        <x:is>
          <x:t xml:space="preserve"/>
        </x:is>
      </x:c>
      <x:c r="G21" t="inlineStr">
        <x:is>
          <x:t xml:space="preserve">P0</x:t>
        </x:is>
      </x:c>
      <x:c r="H21" t="inlineStr">
        <x:is>
          <x:t xml:space="preserve"/>
        </x:is>
      </x:c>
      <x:c r="I21" t="inlineStr">
        <x:is>
          <x:t xml:space="preserve">IT/Compliance</x:t>
        </x:is>
      </x:c>
      <x:c r="J21" t="inlineStr">
        <x:is>
          <x:t xml:space="preserve">G4.RISK_COMPLIANCE</x:t>
        </x:is>
      </x:c>
      <x:c r="K21" t="inlineStr">
        <x:is>
          <x:t xml:space="preserve">E2</x:t>
        </x:is>
      </x:c>
      <x:c r="L21" t="inlineStr">
        <x:is>
          <x:t xml:space="preserve">Autofill based on control family defaults; verify with HITL before enforce.</x:t>
        </x:is>
      </x:c>
    </x:row>
    <x:row r="22">
      <x:c r="A22" t="inlineStr">
        <x:is>
          <x:t xml:space="preserve">DSI-02</x:t>
        </x:is>
      </x:c>
      <x:c r="B22" t="inlineStr">
        <x:is>
          <x:t xml:space="preserve">DSI</x:t>
        </x:is>
      </x:c>
      <x:c r="C22" t="inlineStr">
        <x:is>
          <x:t xml:space="preserve">Data Inventory / Flows</x:t>
        </x:is>
      </x:c>
      <x:c r="D22" t="inlineStr">
        <x:is>
          <x:t xml:space="preserve"/>
        </x:is>
      </x:c>
      <x:c r="E22" t="inlineStr">
        <x:is>
          <x:t xml:space="preserve">Annual</x:t>
        </x:is>
      </x:c>
      <x:c r="F22" t="inlineStr">
        <x:is>
          <x:t xml:space="preserve"/>
        </x:is>
      </x:c>
      <x:c r="G22" t="inlineStr">
        <x:is>
          <x:t xml:space="preserve">P0</x:t>
        </x:is>
      </x:c>
      <x:c r="H22" t="inlineStr">
        <x:is>
          <x:t xml:space="preserve"/>
        </x:is>
      </x:c>
      <x:c r="I22" t="inlineStr">
        <x:is>
          <x:t xml:space="preserve">IT/Compliance</x:t>
        </x:is>
      </x:c>
      <x:c r="J22" t="inlineStr">
        <x:is>
          <x:t xml:space="preserve">G4.RISK_COMPLIANCE</x:t>
        </x:is>
      </x:c>
      <x:c r="K22" t="inlineStr">
        <x:is>
          <x:t xml:space="preserve">E2</x:t>
        </x:is>
      </x:c>
      <x:c r="L22" t="inlineStr">
        <x:is>
          <x:t xml:space="preserve">Autofill based on control family defaults; verify with HITL before enforce.</x:t>
        </x:is>
      </x:c>
    </x:row>
    <x:row r="23">
      <x:c r="A23" t="inlineStr">
        <x:is>
          <x:t xml:space="preserve">DSI-03</x:t>
        </x:is>
      </x:c>
      <x:c r="B23" t="inlineStr">
        <x:is>
          <x:t xml:space="preserve">DSI</x:t>
        </x:is>
      </x:c>
      <x:c r="C23" t="inlineStr">
        <x:is>
          <x:t xml:space="preserve">Ecommerce Transactions</x:t>
        </x:is>
      </x:c>
      <x:c r="D23" t="inlineStr">
        <x:is>
          <x:t xml:space="preserve"/>
        </x:is>
      </x:c>
      <x:c r="E23" t="inlineStr">
        <x:is>
          <x:t xml:space="preserve">Annual</x:t>
        </x:is>
      </x:c>
      <x:c r="F23" t="inlineStr">
        <x:is>
          <x:t xml:space="preserve"/>
        </x:is>
      </x:c>
      <x:c r="G23" t="inlineStr">
        <x:is>
          <x:t xml:space="preserve">P0</x:t>
        </x:is>
      </x:c>
      <x:c r="H23" t="inlineStr">
        <x:is>
          <x:t xml:space="preserve"/>
        </x:is>
      </x:c>
      <x:c r="I23" t="inlineStr">
        <x:is>
          <x:t xml:space="preserve">IT/Compliance</x:t>
        </x:is>
      </x:c>
      <x:c r="J23" t="inlineStr">
        <x:is>
          <x:t xml:space="preserve">G4.RISK_COMPLIANCE</x:t>
        </x:is>
      </x:c>
      <x:c r="K23" t="inlineStr">
        <x:is>
          <x:t xml:space="preserve">E2</x:t>
        </x:is>
      </x:c>
      <x:c r="L23" t="inlineStr">
        <x:is>
          <x:t xml:space="preserve">Autofill based on control family defaults; verify with HITL before enforce.</x:t>
        </x:is>
      </x:c>
    </x:row>
    <x:row r="24">
      <x:c r="A24" t="inlineStr">
        <x:is>
          <x:t xml:space="preserve">DSI-04</x:t>
        </x:is>
      </x:c>
      <x:c r="B24" t="inlineStr">
        <x:is>
          <x:t xml:space="preserve">DSI</x:t>
        </x:is>
      </x:c>
      <x:c r="C24" t="inlineStr">
        <x:is>
          <x:t xml:space="preserve">Handling / Labeling / Security Policy</x:t>
        </x:is>
      </x:c>
      <x:c r="D24" t="inlineStr">
        <x:is>
          <x:t xml:space="preserve"/>
        </x:is>
      </x:c>
      <x:c r="E24" t="inlineStr">
        <x:is>
          <x:t xml:space="preserve">Annual</x:t>
        </x:is>
      </x:c>
      <x:c r="F24" t="inlineStr">
        <x:is>
          <x:t xml:space="preserve"/>
        </x:is>
      </x:c>
      <x:c r="G24" t="inlineStr">
        <x:is>
          <x:t xml:space="preserve">P0</x:t>
        </x:is>
      </x:c>
      <x:c r="H24" t="inlineStr">
        <x:is>
          <x:t xml:space="preserve"/>
        </x:is>
      </x:c>
      <x:c r="I24" t="inlineStr">
        <x:is>
          <x:t xml:space="preserve">IT/Compliance</x:t>
        </x:is>
      </x:c>
      <x:c r="J24" t="inlineStr">
        <x:is>
          <x:t xml:space="preserve">G4.RISK_COMPLIANCE</x:t>
        </x:is>
      </x:c>
      <x:c r="K24" t="inlineStr">
        <x:is>
          <x:t xml:space="preserve">E2</x:t>
        </x:is>
      </x:c>
      <x:c r="L24" t="inlineStr">
        <x:is>
          <x:t xml:space="preserve">Autofill based on control family defaults; verify with HITL before enforce.</x:t>
        </x:is>
      </x:c>
    </x:row>
    <x:row r="25">
      <x:c r="A25" t="inlineStr">
        <x:is>
          <x:t xml:space="preserve">DSI-05</x:t>
        </x:is>
      </x:c>
      <x:c r="B25" t="inlineStr">
        <x:is>
          <x:t xml:space="preserve">DSI</x:t>
        </x:is>
      </x:c>
      <x:c r="C25" t="inlineStr">
        <x:is>
          <x:t xml:space="preserve">Non-Production Data</x:t>
        </x:is>
      </x:c>
      <x:c r="D25" t="inlineStr">
        <x:is>
          <x:t xml:space="preserve"/>
        </x:is>
      </x:c>
      <x:c r="E25" t="inlineStr">
        <x:is>
          <x:t xml:space="preserve">Annual</x:t>
        </x:is>
      </x:c>
      <x:c r="F25" t="inlineStr">
        <x:is>
          <x:t xml:space="preserve"/>
        </x:is>
      </x:c>
      <x:c r="G25" t="inlineStr">
        <x:is>
          <x:t xml:space="preserve">P0</x:t>
        </x:is>
      </x:c>
      <x:c r="H25" t="inlineStr">
        <x:is>
          <x:t xml:space="preserve"/>
        </x:is>
      </x:c>
      <x:c r="I25" t="inlineStr">
        <x:is>
          <x:t xml:space="preserve">IT/Compliance</x:t>
        </x:is>
      </x:c>
      <x:c r="J25" t="inlineStr">
        <x:is>
          <x:t xml:space="preserve">G4.RISK_COMPLIANCE</x:t>
        </x:is>
      </x:c>
      <x:c r="K25" t="inlineStr">
        <x:is>
          <x:t xml:space="preserve">E2</x:t>
        </x:is>
      </x:c>
      <x:c r="L25" t="inlineStr">
        <x:is>
          <x:t xml:space="preserve">Autofill based on control family defaults; verify with HITL before enforce.</x:t>
        </x:is>
      </x:c>
    </x:row>
    <x:row r="26">
      <x:c r="A26" t="inlineStr">
        <x:is>
          <x:t xml:space="preserve">DSI-06</x:t>
        </x:is>
      </x:c>
      <x:c r="B26" t="inlineStr">
        <x:is>
          <x:t xml:space="preserve">DSI</x:t>
        </x:is>
      </x:c>
      <x:c r="C26" t="inlineStr">
        <x:is>
          <x:t xml:space="preserve">Ownership / Stewardship</x:t>
        </x:is>
      </x:c>
      <x:c r="D26" t="inlineStr">
        <x:is>
          <x:t xml:space="preserve"/>
        </x:is>
      </x:c>
      <x:c r="E26" t="inlineStr">
        <x:is>
          <x:t xml:space="preserve">Annual</x:t>
        </x:is>
      </x:c>
      <x:c r="F26" t="inlineStr">
        <x:is>
          <x:t xml:space="preserve"/>
        </x:is>
      </x:c>
      <x:c r="G26" t="inlineStr">
        <x:is>
          <x:t xml:space="preserve">P0</x:t>
        </x:is>
      </x:c>
      <x:c r="H26" t="inlineStr">
        <x:is>
          <x:t xml:space="preserve"/>
        </x:is>
      </x:c>
      <x:c r="I26" t="inlineStr">
        <x:is>
          <x:t xml:space="preserve">IT/Compliance</x:t>
        </x:is>
      </x:c>
      <x:c r="J26" t="inlineStr">
        <x:is>
          <x:t xml:space="preserve">G4.RISK_COMPLIANCE</x:t>
        </x:is>
      </x:c>
      <x:c r="K26" t="inlineStr">
        <x:is>
          <x:t xml:space="preserve">E2</x:t>
        </x:is>
      </x:c>
      <x:c r="L26" t="inlineStr">
        <x:is>
          <x:t xml:space="preserve">Autofill based on control family defaults; verify with HITL before enforce.</x:t>
        </x:is>
      </x:c>
    </x:row>
    <x:row r="27">
      <x:c r="A27" t="inlineStr">
        <x:is>
          <x:t xml:space="preserve">DSI-07</x:t>
        </x:is>
      </x:c>
      <x:c r="B27" t="inlineStr">
        <x:is>
          <x:t xml:space="preserve">DSI</x:t>
        </x:is>
      </x:c>
      <x:c r="C27" t="inlineStr">
        <x:is>
          <x:t xml:space="preserve">Secure Disposal</x:t>
        </x:is>
      </x:c>
      <x:c r="D27" t="inlineStr">
        <x:is>
          <x:t xml:space="preserve"/>
        </x:is>
      </x:c>
      <x:c r="E27" t="inlineStr">
        <x:is>
          <x:t xml:space="preserve">Annual</x:t>
        </x:is>
      </x:c>
      <x:c r="F27" t="inlineStr">
        <x:is>
          <x:t xml:space="preserve"/>
        </x:is>
      </x:c>
      <x:c r="G27" t="inlineStr">
        <x:is>
          <x:t xml:space="preserve">P0</x:t>
        </x:is>
      </x:c>
      <x:c r="H27" t="inlineStr">
        <x:is>
          <x:t xml:space="preserve"/>
        </x:is>
      </x:c>
      <x:c r="I27" t="inlineStr">
        <x:is>
          <x:t xml:space="preserve">IT/Compliance</x:t>
        </x:is>
      </x:c>
      <x:c r="J27" t="inlineStr">
        <x:is>
          <x:t xml:space="preserve">G4.RISK_COMPLIANCE</x:t>
        </x:is>
      </x:c>
      <x:c r="K27" t="inlineStr">
        <x:is>
          <x:t xml:space="preserve">E2</x:t>
        </x:is>
      </x:c>
      <x:c r="L27" t="inlineStr">
        <x:is>
          <x:t xml:space="preserve">Autofill based on control family defaults; verify with HITL before enforce.</x:t>
        </x:is>
      </x:c>
    </x:row>
    <x:row r="28">
      <x:c r="A28" t="inlineStr">
        <x:is>
          <x:t xml:space="preserve">DCS-01</x:t>
        </x:is>
      </x:c>
      <x:c r="B28" t="inlineStr">
        <x:is>
          <x:t xml:space="preserve">DCS</x:t>
        </x:is>
      </x:c>
      <x:c r="C28" t="inlineStr">
        <x:is>
          <x:t xml:space="preserve">Asset Management</x:t>
        </x:is>
      </x:c>
      <x:c r="D28" t="inlineStr">
        <x:is>
          <x:t xml:space="preserve"/>
        </x:is>
      </x:c>
      <x:c r="E28" t="inlineStr">
        <x:is>
          <x:t xml:space="preserve">Monthly</x:t>
        </x:is>
      </x:c>
      <x:c r="F28" t="inlineStr">
        <x:is>
          <x:t xml:space="preserve"/>
        </x:is>
      </x:c>
      <x:c r="G28" t="inlineStr">
        <x:is>
          <x:t xml:space="preserve">P0</x:t>
        </x:is>
      </x:c>
      <x:c r="H28" t="inlineStr">
        <x:is>
          <x:t xml:space="preserve"/>
        </x:is>
      </x:c>
      <x:c r="I28" t="inlineStr">
        <x:is>
          <x:t xml:space="preserve">IT</x:t>
        </x:is>
      </x:c>
      <x:c r="J28" t="inlineStr">
        <x:is>
          <x:t xml:space="preserve">G4.RISK_COMPLIANCE</x:t>
        </x:is>
      </x:c>
      <x:c r="K28" t="inlineStr">
        <x:is>
          <x:t xml:space="preserve">E8</x:t>
        </x:is>
      </x:c>
      <x:c r="L28" t="inlineStr">
        <x:is>
          <x:t xml:space="preserve">Autofill based on control family defaults; verify with HITL before enforce.</x:t>
        </x:is>
      </x:c>
    </x:row>
    <x:row r="29">
      <x:c r="A29" t="inlineStr">
        <x:is>
          <x:t xml:space="preserve">DCS-02</x:t>
        </x:is>
      </x:c>
      <x:c r="B29" t="inlineStr">
        <x:is>
          <x:t xml:space="preserve">DCS</x:t>
        </x:is>
      </x:c>
      <x:c r="C29" t="inlineStr">
        <x:is>
          <x:t xml:space="preserve">Controlled Access Points</x:t>
        </x:is>
      </x:c>
      <x:c r="D29" t="inlineStr">
        <x:is>
          <x:t xml:space="preserve"/>
        </x:is>
      </x:c>
      <x:c r="E29" t="inlineStr">
        <x:is>
          <x:t xml:space="preserve">Monthly</x:t>
        </x:is>
      </x:c>
      <x:c r="F29" t="inlineStr">
        <x:is>
          <x:t xml:space="preserve"/>
        </x:is>
      </x:c>
      <x:c r="G29" t="inlineStr">
        <x:is>
          <x:t xml:space="preserve">P0</x:t>
        </x:is>
      </x:c>
      <x:c r="H29" t="inlineStr">
        <x:is>
          <x:t xml:space="preserve"/>
        </x:is>
      </x:c>
      <x:c r="I29" t="inlineStr">
        <x:is>
          <x:t xml:space="preserve">IT</x:t>
        </x:is>
      </x:c>
      <x:c r="J29" t="inlineStr">
        <x:is>
          <x:t xml:space="preserve">G4.RISK_COMPLIANCE</x:t>
        </x:is>
      </x:c>
      <x:c r="K29" t="inlineStr">
        <x:is>
          <x:t xml:space="preserve">E8</x:t>
        </x:is>
      </x:c>
      <x:c r="L29" t="inlineStr">
        <x:is>
          <x:t xml:space="preserve">Autofill based on control family defaults; verify with HITL before enforce.</x:t>
        </x:is>
      </x:c>
    </x:row>
    <x:row r="30">
      <x:c r="A30" t="inlineStr">
        <x:is>
          <x:t xml:space="preserve">DCS-03</x:t>
        </x:is>
      </x:c>
      <x:c r="B30" t="inlineStr">
        <x:is>
          <x:t xml:space="preserve">DCS</x:t>
        </x:is>
      </x:c>
      <x:c r="C30" t="inlineStr">
        <x:is>
          <x:t xml:space="preserve">Equipment Identification</x:t>
        </x:is>
      </x:c>
      <x:c r="D30" t="inlineStr">
        <x:is>
          <x:t xml:space="preserve"/>
        </x:is>
      </x:c>
      <x:c r="E30" t="inlineStr">
        <x:is>
          <x:t xml:space="preserve">Monthly</x:t>
        </x:is>
      </x:c>
      <x:c r="F30" t="inlineStr">
        <x:is>
          <x:t xml:space="preserve"/>
        </x:is>
      </x:c>
      <x:c r="G30" t="inlineStr">
        <x:is>
          <x:t xml:space="preserve">P0</x:t>
        </x:is>
      </x:c>
      <x:c r="H30" t="inlineStr">
        <x:is>
          <x:t xml:space="preserve"/>
        </x:is>
      </x:c>
      <x:c r="I30" t="inlineStr">
        <x:is>
          <x:t xml:space="preserve">IT</x:t>
        </x:is>
      </x:c>
      <x:c r="J30" t="inlineStr">
        <x:is>
          <x:t xml:space="preserve">G4.RISK_COMPLIANCE</x:t>
        </x:is>
      </x:c>
      <x:c r="K30" t="inlineStr">
        <x:is>
          <x:t xml:space="preserve">E8</x:t>
        </x:is>
      </x:c>
      <x:c r="L30" t="inlineStr">
        <x:is>
          <x:t xml:space="preserve">Autofill based on control family defaults; verify with HITL before enforce.</x:t>
        </x:is>
      </x:c>
    </x:row>
    <x:row r="31">
      <x:c r="A31" t="inlineStr">
        <x:is>
          <x:t xml:space="preserve">DCS-04</x:t>
        </x:is>
      </x:c>
      <x:c r="B31" t="inlineStr">
        <x:is>
          <x:t xml:space="preserve">DCS</x:t>
        </x:is>
      </x:c>
      <x:c r="C31" t="inlineStr">
        <x:is>
          <x:t xml:space="preserve">Off-Site Authorization</x:t>
        </x:is>
      </x:c>
      <x:c r="D31" t="inlineStr">
        <x:is>
          <x:t xml:space="preserve"/>
        </x:is>
      </x:c>
      <x:c r="E31" t="inlineStr">
        <x:is>
          <x:t xml:space="preserve">Monthly</x:t>
        </x:is>
      </x:c>
      <x:c r="F31" t="inlineStr">
        <x:is>
          <x:t xml:space="preserve"/>
        </x:is>
      </x:c>
      <x:c r="G31" t="inlineStr">
        <x:is>
          <x:t xml:space="preserve">P0</x:t>
        </x:is>
      </x:c>
      <x:c r="H31" t="inlineStr">
        <x:is>
          <x:t xml:space="preserve"/>
        </x:is>
      </x:c>
      <x:c r="I31" t="inlineStr">
        <x:is>
          <x:t xml:space="preserve">IT</x:t>
        </x:is>
      </x:c>
      <x:c r="J31" t="inlineStr">
        <x:is>
          <x:t xml:space="preserve">G4.RISK_COMPLIANCE</x:t>
        </x:is>
      </x:c>
      <x:c r="K31" t="inlineStr">
        <x:is>
          <x:t xml:space="preserve">E8</x:t>
        </x:is>
      </x:c>
      <x:c r="L31" t="inlineStr">
        <x:is>
          <x:t xml:space="preserve">Autofill based on control family defaults; verify with HITL before enforce.</x:t>
        </x:is>
      </x:c>
    </x:row>
    <x:row r="32">
      <x:c r="A32" t="inlineStr">
        <x:is>
          <x:t xml:space="preserve">DCS-05</x:t>
        </x:is>
      </x:c>
      <x:c r="B32" t="inlineStr">
        <x:is>
          <x:t xml:space="preserve">DCS</x:t>
        </x:is>
      </x:c>
      <x:c r="C32" t="inlineStr">
        <x:is>
          <x:t xml:space="preserve">Off-Site Equipment</x:t>
        </x:is>
      </x:c>
      <x:c r="D32" t="inlineStr">
        <x:is>
          <x:t xml:space="preserve"/>
        </x:is>
      </x:c>
      <x:c r="E32" t="inlineStr">
        <x:is>
          <x:t xml:space="preserve">Monthly</x:t>
        </x:is>
      </x:c>
      <x:c r="F32" t="inlineStr">
        <x:is>
          <x:t xml:space="preserve"/>
        </x:is>
      </x:c>
      <x:c r="G32" t="inlineStr">
        <x:is>
          <x:t xml:space="preserve">P0</x:t>
        </x:is>
      </x:c>
      <x:c r="H32" t="inlineStr">
        <x:is>
          <x:t xml:space="preserve"/>
        </x:is>
      </x:c>
      <x:c r="I32" t="inlineStr">
        <x:is>
          <x:t xml:space="preserve">IT</x:t>
        </x:is>
      </x:c>
      <x:c r="J32" t="inlineStr">
        <x:is>
          <x:t xml:space="preserve">G4.RISK_COMPLIANCE</x:t>
        </x:is>
      </x:c>
      <x:c r="K32" t="inlineStr">
        <x:is>
          <x:t xml:space="preserve">E8</x:t>
        </x:is>
      </x:c>
      <x:c r="L32" t="inlineStr">
        <x:is>
          <x:t xml:space="preserve">Autofill based on control family defaults; verify with HITL before enforce.</x:t>
        </x:is>
      </x:c>
    </x:row>
    <x:row r="33">
      <x:c r="A33" t="inlineStr">
        <x:is>
          <x:t xml:space="preserve">DCS-06</x:t>
        </x:is>
      </x:c>
      <x:c r="B33" t="inlineStr">
        <x:is>
          <x:t xml:space="preserve">DCS</x:t>
        </x:is>
      </x:c>
      <x:c r="C33" t="inlineStr">
        <x:is>
          <x:t xml:space="preserve">Policy</x:t>
        </x:is>
      </x:c>
      <x:c r="D33" t="inlineStr">
        <x:is>
          <x:t xml:space="preserve"/>
        </x:is>
      </x:c>
      <x:c r="E33" t="inlineStr">
        <x:is>
          <x:t xml:space="preserve">Monthly</x:t>
        </x:is>
      </x:c>
      <x:c r="F33" t="inlineStr">
        <x:is>
          <x:t xml:space="preserve"/>
        </x:is>
      </x:c>
      <x:c r="G33" t="inlineStr">
        <x:is>
          <x:t xml:space="preserve">P0</x:t>
        </x:is>
      </x:c>
      <x:c r="H33" t="inlineStr">
        <x:is>
          <x:t xml:space="preserve"/>
        </x:is>
      </x:c>
      <x:c r="I33" t="inlineStr">
        <x:is>
          <x:t xml:space="preserve">IT</x:t>
        </x:is>
      </x:c>
      <x:c r="J33" t="inlineStr">
        <x:is>
          <x:t xml:space="preserve">G4.RISK_COMPLIANCE</x:t>
        </x:is>
      </x:c>
      <x:c r="K33" t="inlineStr">
        <x:is>
          <x:t xml:space="preserve">E8</x:t>
        </x:is>
      </x:c>
      <x:c r="L33" t="inlineStr">
        <x:is>
          <x:t xml:space="preserve">Autofill based on control family defaults; verify with HITL before enforce.</x:t>
        </x:is>
      </x:c>
    </x:row>
    <x:row r="34">
      <x:c r="A34" t="inlineStr">
        <x:is>
          <x:t xml:space="preserve">DCS-07</x:t>
        </x:is>
      </x:c>
      <x:c r="B34" t="inlineStr">
        <x:is>
          <x:t xml:space="preserve">DCS</x:t>
        </x:is>
      </x:c>
      <x:c r="C34" t="inlineStr">
        <x:is>
          <x:t xml:space="preserve">Secure Area Authorization</x:t>
        </x:is>
      </x:c>
      <x:c r="D34" t="inlineStr">
        <x:is>
          <x:t xml:space="preserve"/>
        </x:is>
      </x:c>
      <x:c r="E34" t="inlineStr">
        <x:is>
          <x:t xml:space="preserve">Monthly</x:t>
        </x:is>
      </x:c>
      <x:c r="F34" t="inlineStr">
        <x:is>
          <x:t xml:space="preserve"/>
        </x:is>
      </x:c>
      <x:c r="G34" t="inlineStr">
        <x:is>
          <x:t xml:space="preserve">P0</x:t>
        </x:is>
      </x:c>
      <x:c r="H34" t="inlineStr">
        <x:is>
          <x:t xml:space="preserve"/>
        </x:is>
      </x:c>
      <x:c r="I34" t="inlineStr">
        <x:is>
          <x:t xml:space="preserve">IT</x:t>
        </x:is>
      </x:c>
      <x:c r="J34" t="inlineStr">
        <x:is>
          <x:t xml:space="preserve">G4.RISK_COMPLIANCE</x:t>
        </x:is>
      </x:c>
      <x:c r="K34" t="inlineStr">
        <x:is>
          <x:t xml:space="preserve">E8</x:t>
        </x:is>
      </x:c>
      <x:c r="L34" t="inlineStr">
        <x:is>
          <x:t xml:space="preserve">Autofill based on control family defaults; verify with HITL before enforce.</x:t>
        </x:is>
      </x:c>
    </x:row>
    <x:row r="35">
      <x:c r="A35" t="inlineStr">
        <x:is>
          <x:t xml:space="preserve">DCS-08</x:t>
        </x:is>
      </x:c>
      <x:c r="B35" t="inlineStr">
        <x:is>
          <x:t xml:space="preserve">DCS</x:t>
        </x:is>
      </x:c>
      <x:c r="C35" t="inlineStr">
        <x:is>
          <x:t xml:space="preserve">Unauthorized Persons Entry</x:t>
        </x:is>
      </x:c>
      <x:c r="D35" t="inlineStr">
        <x:is>
          <x:t xml:space="preserve"/>
        </x:is>
      </x:c>
      <x:c r="E35" t="inlineStr">
        <x:is>
          <x:t xml:space="preserve">Monthly</x:t>
        </x:is>
      </x:c>
      <x:c r="F35" t="inlineStr">
        <x:is>
          <x:t xml:space="preserve"/>
        </x:is>
      </x:c>
      <x:c r="G35" t="inlineStr">
        <x:is>
          <x:t xml:space="preserve">P0</x:t>
        </x:is>
      </x:c>
      <x:c r="H35" t="inlineStr">
        <x:is>
          <x:t xml:space="preserve"/>
        </x:is>
      </x:c>
      <x:c r="I35" t="inlineStr">
        <x:is>
          <x:t xml:space="preserve">IT</x:t>
        </x:is>
      </x:c>
      <x:c r="J35" t="inlineStr">
        <x:is>
          <x:t xml:space="preserve">G4.RISK_COMPLIANCE</x:t>
        </x:is>
      </x:c>
      <x:c r="K35" t="inlineStr">
        <x:is>
          <x:t xml:space="preserve">E8</x:t>
        </x:is>
      </x:c>
      <x:c r="L35" t="inlineStr">
        <x:is>
          <x:t xml:space="preserve">Autofill based on control family defaults; verify with HITL before enforce.</x:t>
        </x:is>
      </x:c>
    </x:row>
    <x:row r="36">
      <x:c r="A36" t="inlineStr">
        <x:is>
          <x:t xml:space="preserve">DCS-09</x:t>
        </x:is>
      </x:c>
      <x:c r="B36" t="inlineStr">
        <x:is>
          <x:t xml:space="preserve">DCS</x:t>
        </x:is>
      </x:c>
      <x:c r="C36" t="inlineStr">
        <x:is>
          <x:t xml:space="preserve">User Access</x:t>
        </x:is>
      </x:c>
      <x:c r="D36" t="inlineStr">
        <x:is>
          <x:t xml:space="preserve"/>
        </x:is>
      </x:c>
      <x:c r="E36" t="inlineStr">
        <x:is>
          <x:t xml:space="preserve">Monthly</x:t>
        </x:is>
      </x:c>
      <x:c r="F36" t="inlineStr">
        <x:is>
          <x:t xml:space="preserve"/>
        </x:is>
      </x:c>
      <x:c r="G36" t="inlineStr">
        <x:is>
          <x:t xml:space="preserve">P0</x:t>
        </x:is>
      </x:c>
      <x:c r="H36" t="inlineStr">
        <x:is>
          <x:t xml:space="preserve"/>
        </x:is>
      </x:c>
      <x:c r="I36" t="inlineStr">
        <x:is>
          <x:t xml:space="preserve">IT</x:t>
        </x:is>
      </x:c>
      <x:c r="J36" t="inlineStr">
        <x:is>
          <x:t xml:space="preserve">G4.RISK_COMPLIANCE</x:t>
        </x:is>
      </x:c>
      <x:c r="K36" t="inlineStr">
        <x:is>
          <x:t xml:space="preserve">E8</x:t>
        </x:is>
      </x:c>
      <x:c r="L36" t="inlineStr">
        <x:is>
          <x:t xml:space="preserve">Autofill based on control family defaults; verify with HITL before enforce.</x:t>
        </x:is>
      </x:c>
    </x:row>
    <x:row r="37">
      <x:c r="A37" t="inlineStr">
        <x:is>
          <x:t xml:space="preserve">EKM-01</x:t>
        </x:is>
      </x:c>
      <x:c r="B37" t="inlineStr">
        <x:is>
          <x:t xml:space="preserve">EKM</x:t>
        </x:is>
      </x:c>
      <x:c r="C37" t="inlineStr">
        <x:is>
          <x:t xml:space="preserve">Entitlement</x:t>
        </x:is>
      </x:c>
      <x:c r="D37" t="inlineStr">
        <x:is>
          <x:t xml:space="preserve"/>
        </x:is>
      </x:c>
      <x:c r="E37" t="inlineStr">
        <x:is>
          <x:t xml:space="preserve">Quarterly</x:t>
        </x:is>
      </x:c>
      <x:c r="F37" t="inlineStr">
        <x:is>
          <x:t xml:space="preserve"/>
        </x:is>
      </x:c>
      <x:c r="G37" t="inlineStr">
        <x:is>
          <x:t xml:space="preserve">P0</x:t>
        </x:is>
      </x:c>
      <x:c r="H37" t="inlineStr">
        <x:is>
          <x:t xml:space="preserve"/>
        </x:is>
      </x:c>
      <x:c r="I37" t="inlineStr">
        <x:is>
          <x:t xml:space="preserve">IT</x:t>
        </x:is>
      </x:c>
      <x:c r="J37" t="inlineStr">
        <x:is>
          <x:t xml:space="preserve">G4.RISK_COMPLIANCE</x:t>
        </x:is>
      </x:c>
      <x:c r="K37" t="inlineStr">
        <x:is>
          <x:t xml:space="preserve">E8</x:t>
        </x:is>
      </x:c>
      <x:c r="L37" t="inlineStr">
        <x:is>
          <x:t xml:space="preserve">Autofill based on control family defaults; verify with HITL before enforce.</x:t>
        </x:is>
      </x:c>
    </x:row>
    <x:row r="38">
      <x:c r="A38" t="inlineStr">
        <x:is>
          <x:t xml:space="preserve">EKM-02</x:t>
        </x:is>
      </x:c>
      <x:c r="B38" t="inlineStr">
        <x:is>
          <x:t xml:space="preserve">EKM</x:t>
        </x:is>
      </x:c>
      <x:c r="C38" t="inlineStr">
        <x:is>
          <x:t xml:space="preserve">Key Generation</x:t>
        </x:is>
      </x:c>
      <x:c r="D38" t="inlineStr">
        <x:is>
          <x:t xml:space="preserve"/>
        </x:is>
      </x:c>
      <x:c r="E38" t="inlineStr">
        <x:is>
          <x:t xml:space="preserve">Quarterly</x:t>
        </x:is>
      </x:c>
      <x:c r="F38" t="inlineStr">
        <x:is>
          <x:t xml:space="preserve"/>
        </x:is>
      </x:c>
      <x:c r="G38" t="inlineStr">
        <x:is>
          <x:t xml:space="preserve">P0</x:t>
        </x:is>
      </x:c>
      <x:c r="H38" t="inlineStr">
        <x:is>
          <x:t xml:space="preserve"/>
        </x:is>
      </x:c>
      <x:c r="I38" t="inlineStr">
        <x:is>
          <x:t xml:space="preserve">IT</x:t>
        </x:is>
      </x:c>
      <x:c r="J38" t="inlineStr">
        <x:is>
          <x:t xml:space="preserve">G4.RISK_COMPLIANCE</x:t>
        </x:is>
      </x:c>
      <x:c r="K38" t="inlineStr">
        <x:is>
          <x:t xml:space="preserve">E8</x:t>
        </x:is>
      </x:c>
      <x:c r="L38" t="inlineStr">
        <x:is>
          <x:t xml:space="preserve">Autofill based on control family defaults; verify with HITL before enforce.</x:t>
        </x:is>
      </x:c>
    </x:row>
    <x:row r="39">
      <x:c r="A39" t="inlineStr">
        <x:is>
          <x:t xml:space="preserve">EKM-03</x:t>
        </x:is>
      </x:c>
      <x:c r="B39" t="inlineStr">
        <x:is>
          <x:t xml:space="preserve">EKM</x:t>
        </x:is>
      </x:c>
      <x:c r="C39" t="inlineStr">
        <x:is>
          <x:t xml:space="preserve">Sensitive Data Protection</x:t>
        </x:is>
      </x:c>
      <x:c r="D39" t="inlineStr">
        <x:is>
          <x:t xml:space="preserve"/>
        </x:is>
      </x:c>
      <x:c r="E39" t="inlineStr">
        <x:is>
          <x:t xml:space="preserve">Quarterly</x:t>
        </x:is>
      </x:c>
      <x:c r="F39" t="inlineStr">
        <x:is>
          <x:t xml:space="preserve"/>
        </x:is>
      </x:c>
      <x:c r="G39" t="inlineStr">
        <x:is>
          <x:t xml:space="preserve">P0</x:t>
        </x:is>
      </x:c>
      <x:c r="H39" t="inlineStr">
        <x:is>
          <x:t xml:space="preserve"/>
        </x:is>
      </x:c>
      <x:c r="I39" t="inlineStr">
        <x:is>
          <x:t xml:space="preserve">IT</x:t>
        </x:is>
      </x:c>
      <x:c r="J39" t="inlineStr">
        <x:is>
          <x:t xml:space="preserve">G4.RISK_COMPLIANCE</x:t>
        </x:is>
      </x:c>
      <x:c r="K39" t="inlineStr">
        <x:is>
          <x:t xml:space="preserve">E8</x:t>
        </x:is>
      </x:c>
      <x:c r="L39" t="inlineStr">
        <x:is>
          <x:t xml:space="preserve">Autofill based on control family defaults; verify with HITL before enforce.</x:t>
        </x:is>
      </x:c>
    </x:row>
    <x:row r="40">
      <x:c r="A40" t="inlineStr">
        <x:is>
          <x:t xml:space="preserve">EKM-04</x:t>
        </x:is>
      </x:c>
      <x:c r="B40" t="inlineStr">
        <x:is>
          <x:t xml:space="preserve">EKM</x:t>
        </x:is>
      </x:c>
      <x:c r="C40" t="inlineStr">
        <x:is>
          <x:t xml:space="preserve">Storage and Access</x:t>
        </x:is>
      </x:c>
      <x:c r="D40" t="inlineStr">
        <x:is>
          <x:t xml:space="preserve"/>
        </x:is>
      </x:c>
      <x:c r="E40" t="inlineStr">
        <x:is>
          <x:t xml:space="preserve">Quarterly</x:t>
        </x:is>
      </x:c>
      <x:c r="F40" t="inlineStr">
        <x:is>
          <x:t xml:space="preserve"/>
        </x:is>
      </x:c>
      <x:c r="G40" t="inlineStr">
        <x:is>
          <x:t xml:space="preserve">P0</x:t>
        </x:is>
      </x:c>
      <x:c r="H40" t="inlineStr">
        <x:is>
          <x:t xml:space="preserve"/>
        </x:is>
      </x:c>
      <x:c r="I40" t="inlineStr">
        <x:is>
          <x:t xml:space="preserve">IT</x:t>
        </x:is>
      </x:c>
      <x:c r="J40" t="inlineStr">
        <x:is>
          <x:t xml:space="preserve">G4.RISK_COMPLIANCE</x:t>
        </x:is>
      </x:c>
      <x:c r="K40" t="inlineStr">
        <x:is>
          <x:t xml:space="preserve">E8</x:t>
        </x:is>
      </x:c>
      <x:c r="L40" t="inlineStr">
        <x:is>
          <x:t xml:space="preserve">Autofill based on control family defaults; verify with HITL before enforce.</x:t>
        </x:is>
      </x:c>
    </x:row>
    <x:row r="41">
      <x:c r="A41" t="inlineStr">
        <x:is>
          <x:t xml:space="preserve">GRM-01</x:t>
        </x:is>
      </x:c>
      <x:c r="B41" t="inlineStr">
        <x:is>
          <x:t xml:space="preserve">GRM</x:t>
        </x:is>
      </x:c>
      <x:c r="C41" t="inlineStr">
        <x:is>
          <x:t xml:space="preserve">Baseline Requirements</x:t>
        </x:is>
      </x:c>
      <x:c r="D41" t="inlineStr">
        <x:is>
          <x:t xml:space="preserve">Annual</x:t>
        </x:is>
      </x:c>
      <x:c r="E41" t="inlineStr">
        <x:is>
          <x:t xml:space="preserve">Annual</x:t>
        </x:is>
      </x:c>
      <x:c r="F41" t="inlineStr">
        <x:is>
          <x:t xml:space="preserve"/>
        </x:is>
      </x:c>
      <x:c r="G41" t="inlineStr">
        <x:is>
          <x:t xml:space="preserve">P0</x:t>
        </x:is>
      </x:c>
      <x:c r="H41" t="inlineStr">
        <x:is>
          <x:t xml:space="preserve"/>
        </x:is>
      </x:c>
      <x:c r="I41" t="inlineStr">
        <x:is>
          <x:t xml:space="preserve">Compliance</x:t>
        </x:is>
      </x:c>
      <x:c r="J41" t="inlineStr">
        <x:is>
          <x:t xml:space="preserve">G4.RISK_COMPLIANCE</x:t>
        </x:is>
      </x:c>
      <x:c r="K41" t="inlineStr">
        <x:is>
          <x:t xml:space="preserve">E8</x:t>
        </x:is>
      </x:c>
      <x:c r="L41" t="inlineStr">
        <x:is>
          <x:t xml:space="preserve">Autofill based on control family defaults; verify with HITL before enforce.</x:t>
        </x:is>
      </x:c>
    </x:row>
    <x:row r="42">
      <x:c r="A42" t="inlineStr">
        <x:is>
          <x:t xml:space="preserve">GRM-02</x:t>
        </x:is>
      </x:c>
      <x:c r="B42" t="inlineStr">
        <x:is>
          <x:t xml:space="preserve">GRM</x:t>
        </x:is>
      </x:c>
      <x:c r="C42" t="inlineStr">
        <x:is>
          <x:t xml:space="preserve">Data Focus Risk Assessments</x:t>
        </x:is>
      </x:c>
      <x:c r="D42" t="inlineStr">
        <x:is>
          <x:t xml:space="preserve">Planned intervals</x:t>
        </x:is>
      </x:c>
      <x:c r="E42" t="inlineStr">
        <x:is>
          <x:t xml:space="preserve">Annual</x:t>
        </x:is>
      </x:c>
      <x:c r="F42" t="inlineStr">
        <x:is>
          <x:t xml:space="preserve"/>
        </x:is>
      </x:c>
      <x:c r="G42" t="inlineStr">
        <x:is>
          <x:t xml:space="preserve">P0</x:t>
        </x:is>
      </x:c>
      <x:c r="H42" t="inlineStr">
        <x:is>
          <x:t xml:space="preserve"/>
        </x:is>
      </x:c>
      <x:c r="I42" t="inlineStr">
        <x:is>
          <x:t xml:space="preserve">Compliance</x:t>
        </x:is>
      </x:c>
      <x:c r="J42" t="inlineStr">
        <x:is>
          <x:t xml:space="preserve">G4.RISK_COMPLIANCE</x:t>
        </x:is>
      </x:c>
      <x:c r="K42" t="inlineStr">
        <x:is>
          <x:t xml:space="preserve">E8</x:t>
        </x:is>
      </x:c>
      <x:c r="L42" t="inlineStr">
        <x:is>
          <x:t xml:space="preserve">Autofill based on control family defaults; verify with HITL before enforce.</x:t>
        </x:is>
      </x:c>
    </x:row>
    <x:row r="43">
      <x:c r="A43" t="inlineStr">
        <x:is>
          <x:t xml:space="preserve">GRM-03</x:t>
        </x:is>
      </x:c>
      <x:c r="B43" t="inlineStr">
        <x:is>
          <x:t xml:space="preserve">GRM</x:t>
        </x:is>
      </x:c>
      <x:c r="C43" t="inlineStr">
        <x:is>
          <x:t xml:space="preserve">Management Oversight</x:t>
        </x:is>
      </x:c>
      <x:c r="D43" t="inlineStr">
        <x:is>
          <x:t xml:space="preserve"/>
        </x:is>
      </x:c>
      <x:c r="E43" t="inlineStr">
        <x:is>
          <x:t xml:space="preserve">Annual</x:t>
        </x:is>
      </x:c>
      <x:c r="F43" t="inlineStr">
        <x:is>
          <x:t xml:space="preserve"/>
        </x:is>
      </x:c>
      <x:c r="G43" t="inlineStr">
        <x:is>
          <x:t xml:space="preserve">P0</x:t>
        </x:is>
      </x:c>
      <x:c r="H43" t="inlineStr">
        <x:is>
          <x:t xml:space="preserve"/>
        </x:is>
      </x:c>
      <x:c r="I43" t="inlineStr">
        <x:is>
          <x:t xml:space="preserve">Compliance</x:t>
        </x:is>
      </x:c>
      <x:c r="J43" t="inlineStr">
        <x:is>
          <x:t xml:space="preserve">G4.RISK_COMPLIANCE</x:t>
        </x:is>
      </x:c>
      <x:c r="K43" t="inlineStr">
        <x:is>
          <x:t xml:space="preserve">E8</x:t>
        </x:is>
      </x:c>
      <x:c r="L43" t="inlineStr">
        <x:is>
          <x:t xml:space="preserve">Autofill based on control family defaults; verify with HITL before enforce.</x:t>
        </x:is>
      </x:c>
    </x:row>
    <x:row r="44">
      <x:c r="A44" t="inlineStr">
        <x:is>
          <x:t xml:space="preserve">GRM-04</x:t>
        </x:is>
      </x:c>
      <x:c r="B44" t="inlineStr">
        <x:is>
          <x:t xml:space="preserve">GRM</x:t>
        </x:is>
      </x:c>
      <x:c r="C44" t="inlineStr">
        <x:is>
          <x:t xml:space="preserve">Management Program</x:t>
        </x:is>
      </x:c>
      <x:c r="D44" t="inlineStr">
        <x:is>
          <x:t xml:space="preserve"/>
        </x:is>
      </x:c>
      <x:c r="E44" t="inlineStr">
        <x:is>
          <x:t xml:space="preserve">Annual</x:t>
        </x:is>
      </x:c>
      <x:c r="F44" t="inlineStr">
        <x:is>
          <x:t xml:space="preserve"/>
        </x:is>
      </x:c>
      <x:c r="G44" t="inlineStr">
        <x:is>
          <x:t xml:space="preserve">P0</x:t>
        </x:is>
      </x:c>
      <x:c r="H44" t="inlineStr">
        <x:is>
          <x:t xml:space="preserve"/>
        </x:is>
      </x:c>
      <x:c r="I44" t="inlineStr">
        <x:is>
          <x:t xml:space="preserve">Compliance</x:t>
        </x:is>
      </x:c>
      <x:c r="J44" t="inlineStr">
        <x:is>
          <x:t xml:space="preserve">G4.RISK_COMPLIANCE</x:t>
        </x:is>
      </x:c>
      <x:c r="K44" t="inlineStr">
        <x:is>
          <x:t xml:space="preserve">E8</x:t>
        </x:is>
      </x:c>
      <x:c r="L44" t="inlineStr">
        <x:is>
          <x:t xml:space="preserve">Autofill based on control family defaults; verify with HITL before enforce.</x:t>
        </x:is>
      </x:c>
    </x:row>
    <x:row r="45">
      <x:c r="A45" t="inlineStr">
        <x:is>
          <x:t xml:space="preserve">GRM-05</x:t>
        </x:is>
      </x:c>
      <x:c r="B45" t="inlineStr">
        <x:is>
          <x:t xml:space="preserve">GRM</x:t>
        </x:is>
      </x:c>
      <x:c r="C45" t="inlineStr">
        <x:is>
          <x:t xml:space="preserve">Management Support/Involvement</x:t>
        </x:is>
      </x:c>
      <x:c r="D45" t="inlineStr">
        <x:is>
          <x:t xml:space="preserve"/>
        </x:is>
      </x:c>
      <x:c r="E45" t="inlineStr">
        <x:is>
          <x:t xml:space="preserve">Annual</x:t>
        </x:is>
      </x:c>
      <x:c r="F45" t="inlineStr">
        <x:is>
          <x:t xml:space="preserve"/>
        </x:is>
      </x:c>
      <x:c r="G45" t="inlineStr">
        <x:is>
          <x:t xml:space="preserve">P0</x:t>
        </x:is>
      </x:c>
      <x:c r="H45" t="inlineStr">
        <x:is>
          <x:t xml:space="preserve"/>
        </x:is>
      </x:c>
      <x:c r="I45" t="inlineStr">
        <x:is>
          <x:t xml:space="preserve">Compliance</x:t>
        </x:is>
      </x:c>
      <x:c r="J45" t="inlineStr">
        <x:is>
          <x:t xml:space="preserve">G4.RISK_COMPLIANCE</x:t>
        </x:is>
      </x:c>
      <x:c r="K45" t="inlineStr">
        <x:is>
          <x:t xml:space="preserve">E8</x:t>
        </x:is>
      </x:c>
      <x:c r="L45" t="inlineStr">
        <x:is>
          <x:t xml:space="preserve">Autofill based on control family defaults; verify with HITL before enforce.</x:t>
        </x:is>
      </x:c>
    </x:row>
    <x:row r="46">
      <x:c r="A46" t="inlineStr">
        <x:is>
          <x:t xml:space="preserve">GRM-06</x:t>
        </x:is>
      </x:c>
      <x:c r="B46" t="inlineStr">
        <x:is>
          <x:t xml:space="preserve">GRM</x:t>
        </x:is>
      </x:c>
      <x:c r="C46" t="inlineStr">
        <x:is>
          <x:t xml:space="preserve">Policy</x:t>
        </x:is>
      </x:c>
      <x:c r="D46" t="inlineStr">
        <x:is>
          <x:t xml:space="preserve"/>
        </x:is>
      </x:c>
      <x:c r="E46" t="inlineStr">
        <x:is>
          <x:t xml:space="preserve">Annual</x:t>
        </x:is>
      </x:c>
      <x:c r="F46" t="inlineStr">
        <x:is>
          <x:t xml:space="preserve"/>
        </x:is>
      </x:c>
      <x:c r="G46" t="inlineStr">
        <x:is>
          <x:t xml:space="preserve">P0</x:t>
        </x:is>
      </x:c>
      <x:c r="H46" t="inlineStr">
        <x:is>
          <x:t xml:space="preserve"/>
        </x:is>
      </x:c>
      <x:c r="I46" t="inlineStr">
        <x:is>
          <x:t xml:space="preserve">Compliance</x:t>
        </x:is>
      </x:c>
      <x:c r="J46" t="inlineStr">
        <x:is>
          <x:t xml:space="preserve">G4.RISK_COMPLIANCE</x:t>
        </x:is>
      </x:c>
      <x:c r="K46" t="inlineStr">
        <x:is>
          <x:t xml:space="preserve">E8</x:t>
        </x:is>
      </x:c>
      <x:c r="L46" t="inlineStr">
        <x:is>
          <x:t xml:space="preserve">Autofill based on control family defaults; verify with HITL before enforce.</x:t>
        </x:is>
      </x:c>
    </x:row>
    <x:row r="47">
      <x:c r="A47" t="inlineStr">
        <x:is>
          <x:t xml:space="preserve">GRM-07</x:t>
        </x:is>
      </x:c>
      <x:c r="B47" t="inlineStr">
        <x:is>
          <x:t xml:space="preserve">GRM</x:t>
        </x:is>
      </x:c>
      <x:c r="C47" t="inlineStr">
        <x:is>
          <x:t xml:space="preserve">Policy Enforcement</x:t>
        </x:is>
      </x:c>
      <x:c r="D47" t="inlineStr">
        <x:is>
          <x:t xml:space="preserve"/>
        </x:is>
      </x:c>
      <x:c r="E47" t="inlineStr">
        <x:is>
          <x:t xml:space="preserve">Annual</x:t>
        </x:is>
      </x:c>
      <x:c r="F47" t="inlineStr">
        <x:is>
          <x:t xml:space="preserve"/>
        </x:is>
      </x:c>
      <x:c r="G47" t="inlineStr">
        <x:is>
          <x:t xml:space="preserve">P0</x:t>
        </x:is>
      </x:c>
      <x:c r="H47" t="inlineStr">
        <x:is>
          <x:t xml:space="preserve"/>
        </x:is>
      </x:c>
      <x:c r="I47" t="inlineStr">
        <x:is>
          <x:t xml:space="preserve">Compliance</x:t>
        </x:is>
      </x:c>
      <x:c r="J47" t="inlineStr">
        <x:is>
          <x:t xml:space="preserve">G4.RISK_COMPLIANCE</x:t>
        </x:is>
      </x:c>
      <x:c r="K47" t="inlineStr">
        <x:is>
          <x:t xml:space="preserve">E8</x:t>
        </x:is>
      </x:c>
      <x:c r="L47" t="inlineStr">
        <x:is>
          <x:t xml:space="preserve">Autofill based on control family defaults; verify with HITL before enforce.</x:t>
        </x:is>
      </x:c>
    </x:row>
    <x:row r="48">
      <x:c r="A48" t="inlineStr">
        <x:is>
          <x:t xml:space="preserve">GRM-08</x:t>
        </x:is>
      </x:c>
      <x:c r="B48" t="inlineStr">
        <x:is>
          <x:t xml:space="preserve">GRM</x:t>
        </x:is>
      </x:c>
      <x:c r="C48" t="inlineStr">
        <x:is>
          <x:t xml:space="preserve">Policy Impact on Risk Assessments</x:t>
        </x:is>
      </x:c>
      <x:c r="D48" t="inlineStr">
        <x:is>
          <x:t xml:space="preserve"/>
        </x:is>
      </x:c>
      <x:c r="E48" t="inlineStr">
        <x:is>
          <x:t xml:space="preserve">Annual</x:t>
        </x:is>
      </x:c>
      <x:c r="F48" t="inlineStr">
        <x:is>
          <x:t xml:space="preserve"/>
        </x:is>
      </x:c>
      <x:c r="G48" t="inlineStr">
        <x:is>
          <x:t xml:space="preserve">P0</x:t>
        </x:is>
      </x:c>
      <x:c r="H48" t="inlineStr">
        <x:is>
          <x:t xml:space="preserve"/>
        </x:is>
      </x:c>
      <x:c r="I48" t="inlineStr">
        <x:is>
          <x:t xml:space="preserve">Compliance</x:t>
        </x:is>
      </x:c>
      <x:c r="J48" t="inlineStr">
        <x:is>
          <x:t xml:space="preserve">G4.RISK_COMPLIANCE</x:t>
        </x:is>
      </x:c>
      <x:c r="K48" t="inlineStr">
        <x:is>
          <x:t xml:space="preserve">E8</x:t>
        </x:is>
      </x:c>
      <x:c r="L48" t="inlineStr">
        <x:is>
          <x:t xml:space="preserve">Autofill based on control family defaults; verify with HITL before enforce.</x:t>
        </x:is>
      </x:c>
    </x:row>
    <x:row r="49">
      <x:c r="A49" t="inlineStr">
        <x:is>
          <x:t xml:space="preserve">GRM-09</x:t>
        </x:is>
      </x:c>
      <x:c r="B49" t="inlineStr">
        <x:is>
          <x:t xml:space="preserve">GRM</x:t>
        </x:is>
      </x:c>
      <x:c r="C49" t="inlineStr">
        <x:is>
          <x:t xml:space="preserve">Policy Reviews</x:t>
        </x:is>
      </x:c>
      <x:c r="D49" t="inlineStr">
        <x:is>
          <x:t xml:space="preserve">Planned intervals</x:t>
        </x:is>
      </x:c>
      <x:c r="E49" t="inlineStr">
        <x:is>
          <x:t xml:space="preserve">Annual</x:t>
        </x:is>
      </x:c>
      <x:c r="F49" t="inlineStr">
        <x:is>
          <x:t xml:space="preserve"/>
        </x:is>
      </x:c>
      <x:c r="G49" t="inlineStr">
        <x:is>
          <x:t xml:space="preserve">P0</x:t>
        </x:is>
      </x:c>
      <x:c r="H49" t="inlineStr">
        <x:is>
          <x:t xml:space="preserve"/>
        </x:is>
      </x:c>
      <x:c r="I49" t="inlineStr">
        <x:is>
          <x:t xml:space="preserve">Compliance</x:t>
        </x:is>
      </x:c>
      <x:c r="J49" t="inlineStr">
        <x:is>
          <x:t xml:space="preserve">G4.RISK_COMPLIANCE</x:t>
        </x:is>
      </x:c>
      <x:c r="K49" t="inlineStr">
        <x:is>
          <x:t xml:space="preserve">E8</x:t>
        </x:is>
      </x:c>
      <x:c r="L49" t="inlineStr">
        <x:is>
          <x:t xml:space="preserve">Autofill based on control family defaults; verify with HITL before enforce.</x:t>
        </x:is>
      </x:c>
    </x:row>
    <x:row r="50">
      <x:c r="A50" t="inlineStr">
        <x:is>
          <x:t xml:space="preserve">GRM-10</x:t>
        </x:is>
      </x:c>
      <x:c r="B50" t="inlineStr">
        <x:is>
          <x:t xml:space="preserve">GRM</x:t>
        </x:is>
      </x:c>
      <x:c r="C50" t="inlineStr">
        <x:is>
          <x:t xml:space="preserve">Risk Assessments</x:t>
        </x:is>
      </x:c>
      <x:c r="D50" t="inlineStr">
        <x:is>
          <x:t xml:space="preserve">Annual</x:t>
        </x:is>
      </x:c>
      <x:c r="E50" t="inlineStr">
        <x:is>
          <x:t xml:space="preserve">Annual</x:t>
        </x:is>
      </x:c>
      <x:c r="F50" t="inlineStr">
        <x:is>
          <x:t xml:space="preserve"/>
        </x:is>
      </x:c>
      <x:c r="G50" t="inlineStr">
        <x:is>
          <x:t xml:space="preserve">P0</x:t>
        </x:is>
      </x:c>
      <x:c r="H50" t="inlineStr">
        <x:is>
          <x:t xml:space="preserve"/>
        </x:is>
      </x:c>
      <x:c r="I50" t="inlineStr">
        <x:is>
          <x:t xml:space="preserve">Compliance</x:t>
        </x:is>
      </x:c>
      <x:c r="J50" t="inlineStr">
        <x:is>
          <x:t xml:space="preserve">G4.RISK_COMPLIANCE</x:t>
        </x:is>
      </x:c>
      <x:c r="K50" t="inlineStr">
        <x:is>
          <x:t xml:space="preserve">E8</x:t>
        </x:is>
      </x:c>
      <x:c r="L50" t="inlineStr">
        <x:is>
          <x:t xml:space="preserve">Autofill based on control family defaults; verify with HITL before enforce.</x:t>
        </x:is>
      </x:c>
    </x:row>
    <x:row r="51">
      <x:c r="A51" t="inlineStr">
        <x:is>
          <x:t xml:space="preserve">GRM-11</x:t>
        </x:is>
      </x:c>
      <x:c r="B51" t="inlineStr">
        <x:is>
          <x:t xml:space="preserve">GRM</x:t>
        </x:is>
      </x:c>
      <x:c r="C51" t="inlineStr">
        <x:is>
          <x:t xml:space="preserve">Risk Management Framework</x:t>
        </x:is>
      </x:c>
      <x:c r="D51" t="inlineStr">
        <x:is>
          <x:t xml:space="preserve"/>
        </x:is>
      </x:c>
      <x:c r="E51" t="inlineStr">
        <x:is>
          <x:t xml:space="preserve">Annual</x:t>
        </x:is>
      </x:c>
      <x:c r="F51" t="inlineStr">
        <x:is>
          <x:t xml:space="preserve"/>
        </x:is>
      </x:c>
      <x:c r="G51" t="inlineStr">
        <x:is>
          <x:t xml:space="preserve">P0</x:t>
        </x:is>
      </x:c>
      <x:c r="H51" t="inlineStr">
        <x:is>
          <x:t xml:space="preserve"/>
        </x:is>
      </x:c>
      <x:c r="I51" t="inlineStr">
        <x:is>
          <x:t xml:space="preserve">Compliance</x:t>
        </x:is>
      </x:c>
      <x:c r="J51" t="inlineStr">
        <x:is>
          <x:t xml:space="preserve">G4.RISK_COMPLIANCE</x:t>
        </x:is>
      </x:c>
      <x:c r="K51" t="inlineStr">
        <x:is>
          <x:t xml:space="preserve">E8</x:t>
        </x:is>
      </x:c>
      <x:c r="L51" t="inlineStr">
        <x:is>
          <x:t xml:space="preserve">Autofill based on control family defaults; verify with HITL before enforce.</x:t>
        </x:is>
      </x:c>
    </x:row>
    <x:row r="52">
      <x:c r="A52" t="inlineStr">
        <x:is>
          <x:t xml:space="preserve">HRS-01</x:t>
        </x:is>
      </x:c>
      <x:c r="B52" t="inlineStr">
        <x:is>
          <x:t xml:space="preserve">HRS</x:t>
        </x:is>
      </x:c>
      <x:c r="C52" t="inlineStr">
        <x:is>
          <x:t xml:space="preserve">Asset Returns</x:t>
        </x:is>
      </x:c>
      <x:c r="D52" t="inlineStr">
        <x:is>
          <x:t xml:space="preserve"/>
        </x:is>
      </x:c>
      <x:c r="E52" t="inlineStr">
        <x:is>
          <x:t xml:space="preserve">Annual</x:t>
        </x:is>
      </x:c>
      <x:c r="F52" t="inlineStr">
        <x:is>
          <x:t xml:space="preserve"/>
        </x:is>
      </x:c>
      <x:c r="G52" t="inlineStr">
        <x:is>
          <x:t xml:space="preserve">P2</x:t>
        </x:is>
      </x:c>
      <x:c r="H52" t="inlineStr">
        <x:is>
          <x:t xml:space="preserve"/>
        </x:is>
      </x:c>
      <x:c r="I52" t="inlineStr">
        <x:is>
          <x:t xml:space="preserve">HR/Compliance</x:t>
        </x:is>
      </x:c>
      <x:c r="J52" t="inlineStr">
        <x:is>
          <x:t xml:space="preserve">G4.RISK_COMPLIANCE</x:t>
        </x:is>
      </x:c>
      <x:c r="K52" t="inlineStr">
        <x:is>
          <x:t xml:space="preserve">E8</x:t>
        </x:is>
      </x:c>
      <x:c r="L52" t="inlineStr">
        <x:is>
          <x:t xml:space="preserve">Autofill based on control family defaults; verify with HITL before enforce.</x:t>
        </x:is>
      </x:c>
    </x:row>
    <x:row r="53">
      <x:c r="A53" t="inlineStr">
        <x:is>
          <x:t xml:space="preserve">HRS-05</x:t>
        </x:is>
      </x:c>
      <x:c r="B53" t="inlineStr">
        <x:is>
          <x:t xml:space="preserve">HRS</x:t>
        </x:is>
      </x:c>
      <x:c r="C53" t="inlineStr">
        <x:is>
          <x:t xml:space="preserve">Mobile Device Management</x:t>
        </x:is>
      </x:c>
      <x:c r="D53" t="inlineStr">
        <x:is>
          <x:t xml:space="preserve"/>
        </x:is>
      </x:c>
      <x:c r="E53" t="inlineStr">
        <x:is>
          <x:t xml:space="preserve">Annual</x:t>
        </x:is>
      </x:c>
      <x:c r="F53" t="inlineStr">
        <x:is>
          <x:t xml:space="preserve"/>
        </x:is>
      </x:c>
      <x:c r="G53" t="inlineStr">
        <x:is>
          <x:t xml:space="preserve">P2</x:t>
        </x:is>
      </x:c>
      <x:c r="H53" t="inlineStr">
        <x:is>
          <x:t xml:space="preserve"/>
        </x:is>
      </x:c>
      <x:c r="I53" t="inlineStr">
        <x:is>
          <x:t xml:space="preserve">HR/Compliance</x:t>
        </x:is>
      </x:c>
      <x:c r="J53" t="inlineStr">
        <x:is>
          <x:t xml:space="preserve">G4.RISK_COMPLIANCE</x:t>
        </x:is>
      </x:c>
      <x:c r="K53" t="inlineStr">
        <x:is>
          <x:t xml:space="preserve">E8</x:t>
        </x:is>
      </x:c>
      <x:c r="L53" t="inlineStr">
        <x:is>
          <x:t xml:space="preserve">Autofill based on control family defaults; verify with HITL before enforce.</x:t>
        </x:is>
      </x:c>
    </x:row>
    <x:row r="54">
      <x:c r="A54" t="inlineStr">
        <x:is>
          <x:t xml:space="preserve">HRS-08</x:t>
        </x:is>
      </x:c>
      <x:c r="B54" t="inlineStr">
        <x:is>
          <x:t xml:space="preserve">HRS</x:t>
        </x:is>
      </x:c>
      <x:c r="C54" t="inlineStr">
        <x:is>
          <x:t xml:space="preserve">Technology Acceptable Use</x:t>
        </x:is>
      </x:c>
      <x:c r="D54" t="inlineStr">
        <x:is>
          <x:t xml:space="preserve"/>
        </x:is>
      </x:c>
      <x:c r="E54" t="inlineStr">
        <x:is>
          <x:t xml:space="preserve">Annual</x:t>
        </x:is>
      </x:c>
      <x:c r="F54" t="inlineStr">
        <x:is>
          <x:t xml:space="preserve"/>
        </x:is>
      </x:c>
      <x:c r="G54" t="inlineStr">
        <x:is>
          <x:t xml:space="preserve">P2</x:t>
        </x:is>
      </x:c>
      <x:c r="H54" t="inlineStr">
        <x:is>
          <x:t xml:space="preserve"/>
        </x:is>
      </x:c>
      <x:c r="I54" t="inlineStr">
        <x:is>
          <x:t xml:space="preserve">HR/Compliance</x:t>
        </x:is>
      </x:c>
      <x:c r="J54" t="inlineStr">
        <x:is>
          <x:t xml:space="preserve">G4.RISK_COMPLIANCE</x:t>
        </x:is>
      </x:c>
      <x:c r="K54" t="inlineStr">
        <x:is>
          <x:t xml:space="preserve">E8</x:t>
        </x:is>
      </x:c>
      <x:c r="L54" t="inlineStr">
        <x:is>
          <x:t xml:space="preserve">Autofill based on control family defaults; verify with HITL before enforce.</x:t>
        </x:is>
      </x:c>
    </x:row>
    <x:row r="55">
      <x:c r="A55" t="inlineStr">
        <x:is>
          <x:t xml:space="preserve">HRS-09</x:t>
        </x:is>
      </x:c>
      <x:c r="B55" t="inlineStr">
        <x:is>
          <x:t xml:space="preserve">HRS</x:t>
        </x:is>
      </x:c>
      <x:c r="C55" t="inlineStr">
        <x:is>
          <x:t xml:space="preserve">Training / Awareness</x:t>
        </x:is>
      </x:c>
      <x:c r="D55" t="inlineStr">
        <x:is>
          <x:t xml:space="preserve"/>
        </x:is>
      </x:c>
      <x:c r="E55" t="inlineStr">
        <x:is>
          <x:t xml:space="preserve">Annual</x:t>
        </x:is>
      </x:c>
      <x:c r="F55" t="inlineStr">
        <x:is>
          <x:t xml:space="preserve"/>
        </x:is>
      </x:c>
      <x:c r="G55" t="inlineStr">
        <x:is>
          <x:t xml:space="preserve">P2</x:t>
        </x:is>
      </x:c>
      <x:c r="H55" t="inlineStr">
        <x:is>
          <x:t xml:space="preserve"/>
        </x:is>
      </x:c>
      <x:c r="I55" t="inlineStr">
        <x:is>
          <x:t xml:space="preserve">HR/Compliance</x:t>
        </x:is>
      </x:c>
      <x:c r="J55" t="inlineStr">
        <x:is>
          <x:t xml:space="preserve">G4.RISK_COMPLIANCE</x:t>
        </x:is>
      </x:c>
      <x:c r="K55" t="inlineStr">
        <x:is>
          <x:t xml:space="preserve">E8</x:t>
        </x:is>
      </x:c>
      <x:c r="L55" t="inlineStr">
        <x:is>
          <x:t xml:space="preserve">Autofill based on control family defaults; verify with HITL before enforce.</x:t>
        </x:is>
      </x:c>
    </x:row>
    <x:row r="56">
      <x:c r="A56" t="inlineStr">
        <x:is>
          <x:t xml:space="preserve">HRS-10</x:t>
        </x:is>
      </x:c>
      <x:c r="B56" t="inlineStr">
        <x:is>
          <x:t xml:space="preserve">HRS</x:t>
        </x:is>
      </x:c>
      <x:c r="C56" t="inlineStr">
        <x:is>
          <x:t xml:space="preserve">User Responsibility</x:t>
        </x:is>
      </x:c>
      <x:c r="D56" t="inlineStr">
        <x:is>
          <x:t xml:space="preserve"/>
        </x:is>
      </x:c>
      <x:c r="E56" t="inlineStr">
        <x:is>
          <x:t xml:space="preserve">Annual</x:t>
        </x:is>
      </x:c>
      <x:c r="F56" t="inlineStr">
        <x:is>
          <x:t xml:space="preserve"/>
        </x:is>
      </x:c>
      <x:c r="G56" t="inlineStr">
        <x:is>
          <x:t xml:space="preserve">P2</x:t>
        </x:is>
      </x:c>
      <x:c r="H56" t="inlineStr">
        <x:is>
          <x:t xml:space="preserve"/>
        </x:is>
      </x:c>
      <x:c r="I56" t="inlineStr">
        <x:is>
          <x:t xml:space="preserve">HR/Compliance</x:t>
        </x:is>
      </x:c>
      <x:c r="J56" t="inlineStr">
        <x:is>
          <x:t xml:space="preserve">G4.RISK_COMPLIANCE</x:t>
        </x:is>
      </x:c>
      <x:c r="K56" t="inlineStr">
        <x:is>
          <x:t xml:space="preserve">E8</x:t>
        </x:is>
      </x:c>
      <x:c r="L56" t="inlineStr">
        <x:is>
          <x:t xml:space="preserve">Autofill based on control family defaults; verify with HITL before enforce.</x:t>
        </x:is>
      </x:c>
    </x:row>
    <x:row r="57">
      <x:c r="A57" t="inlineStr">
        <x:is>
          <x:t xml:space="preserve">HRS-11</x:t>
        </x:is>
      </x:c>
      <x:c r="B57" t="inlineStr">
        <x:is>
          <x:t xml:space="preserve">HRS</x:t>
        </x:is>
      </x:c>
      <x:c r="C57" t="inlineStr">
        <x:is>
          <x:t xml:space="preserve">Workspace</x:t>
        </x:is>
      </x:c>
      <x:c r="D57" t="inlineStr">
        <x:is>
          <x:t xml:space="preserve"/>
        </x:is>
      </x:c>
      <x:c r="E57" t="inlineStr">
        <x:is>
          <x:t xml:space="preserve">Annual</x:t>
        </x:is>
      </x:c>
      <x:c r="F57" t="inlineStr">
        <x:is>
          <x:t xml:space="preserve"/>
        </x:is>
      </x:c>
      <x:c r="G57" t="inlineStr">
        <x:is>
          <x:t xml:space="preserve">P2</x:t>
        </x:is>
      </x:c>
      <x:c r="H57" t="inlineStr">
        <x:is>
          <x:t xml:space="preserve"/>
        </x:is>
      </x:c>
      <x:c r="I57" t="inlineStr">
        <x:is>
          <x:t xml:space="preserve">HR/Compliance</x:t>
        </x:is>
      </x:c>
      <x:c r="J57" t="inlineStr">
        <x:is>
          <x:t xml:space="preserve">G4.RISK_COMPLIANCE</x:t>
        </x:is>
      </x:c>
      <x:c r="K57" t="inlineStr">
        <x:is>
          <x:t xml:space="preserve">E8</x:t>
        </x:is>
      </x:c>
      <x:c r="L57" t="inlineStr">
        <x:is>
          <x:t xml:space="preserve">Autofill based on control family defaults; verify with HITL before enforce.</x:t>
        </x:is>
      </x:c>
    </x:row>
    <x:row r="58">
      <x:c r="A58" t="inlineStr">
        <x:is>
          <x:t xml:space="preserve">IAM-01</x:t>
        </x:is>
      </x:c>
      <x:c r="B58" t="inlineStr">
        <x:is>
          <x:t xml:space="preserve">IAM</x:t>
        </x:is>
      </x:c>
      <x:c r="C58" t="inlineStr">
        <x:is>
          <x:t xml:space="preserve">Audit Tools Access</x:t>
        </x:is>
      </x:c>
      <x:c r="D58" t="inlineStr">
        <x:is>
          <x:t xml:space="preserve"/>
        </x:is>
      </x:c>
      <x:c r="E58" t="inlineStr">
        <x:is>
          <x:t xml:space="preserve">Quarterly</x:t>
        </x:is>
      </x:c>
      <x:c r="F58" t="inlineStr">
        <x:is>
          <x:t xml:space="preserve"/>
        </x:is>
      </x:c>
      <x:c r="G58" t="inlineStr">
        <x:is>
          <x:t xml:space="preserve">P0</x:t>
        </x:is>
      </x:c>
      <x:c r="H58" t="inlineStr">
        <x:is>
          <x:t xml:space="preserve"/>
        </x:is>
      </x:c>
      <x:c r="I58" t="inlineStr">
        <x:is>
          <x:t xml:space="preserve">IT</x:t>
        </x:is>
      </x:c>
      <x:c r="J58" t="inlineStr">
        <x:is>
          <x:t xml:space="preserve">G4.RISK_COMPLIANCE</x:t>
        </x:is>
      </x:c>
      <x:c r="K58" t="inlineStr">
        <x:is>
          <x:t xml:space="preserve">E8</x:t>
        </x:is>
      </x:c>
      <x:c r="L58" t="inlineStr">
        <x:is>
          <x:t xml:space="preserve">Autofill based on control family defaults; verify with HITL before enforce.</x:t>
        </x:is>
      </x:c>
    </x:row>
    <x:row r="59">
      <x:c r="A59" t="inlineStr">
        <x:is>
          <x:t xml:space="preserve">IAM-02</x:t>
        </x:is>
      </x:c>
      <x:c r="B59" t="inlineStr">
        <x:is>
          <x:t xml:space="preserve">IAM</x:t>
        </x:is>
      </x:c>
      <x:c r="C59" t="inlineStr">
        <x:is>
          <x:t xml:space="preserve">Credential Lifecycle / Provision Management</x:t>
        </x:is>
      </x:c>
      <x:c r="D59" t="inlineStr">
        <x:is>
          <x:t xml:space="preserve"/>
        </x:is>
      </x:c>
      <x:c r="E59" t="inlineStr">
        <x:is>
          <x:t xml:space="preserve">Quarterly</x:t>
        </x:is>
      </x:c>
      <x:c r="F59" t="inlineStr">
        <x:is>
          <x:t xml:space="preserve"/>
        </x:is>
      </x:c>
      <x:c r="G59" t="inlineStr">
        <x:is>
          <x:t xml:space="preserve">P0</x:t>
        </x:is>
      </x:c>
      <x:c r="H59" t="inlineStr">
        <x:is>
          <x:t xml:space="preserve"/>
        </x:is>
      </x:c>
      <x:c r="I59" t="inlineStr">
        <x:is>
          <x:t xml:space="preserve">IT</x:t>
        </x:is>
      </x:c>
      <x:c r="J59" t="inlineStr">
        <x:is>
          <x:t xml:space="preserve">G4.RISK_COMPLIANCE</x:t>
        </x:is>
      </x:c>
      <x:c r="K59" t="inlineStr">
        <x:is>
          <x:t xml:space="preserve">E8</x:t>
        </x:is>
      </x:c>
      <x:c r="L59" t="inlineStr">
        <x:is>
          <x:t xml:space="preserve">Autofill based on control family defaults; verify with HITL before enforce.</x:t>
        </x:is>
      </x:c>
    </x:row>
    <x:row r="60">
      <x:c r="A60" t="inlineStr">
        <x:is>
          <x:t xml:space="preserve">STA-05</x:t>
        </x:is>
      </x:c>
      <x:c r="B60" t="inlineStr">
        <x:is>
          <x:t xml:space="preserve">STA</x:t>
        </x:is>
      </x:c>
      <x:c r="C60" t="inlineStr">
        <x:is>
          <x:t xml:space="preserve">Supply Chain Agreements</x:t>
        </x:is>
      </x:c>
      <x:c r="D60" t="inlineStr">
        <x:is>
          <x:t xml:space="preserve"/>
        </x:is>
      </x:c>
      <x:c r="E60" t="inlineStr">
        <x:is>
          <x:t xml:space="preserve">Annual</x:t>
        </x:is>
      </x:c>
      <x:c r="F60" t="inlineStr">
        <x:is>
          <x:t xml:space="preserve"/>
        </x:is>
      </x:c>
      <x:c r="G60" t="inlineStr">
        <x:is>
          <x:t xml:space="preserve">P1</x:t>
        </x:is>
      </x:c>
      <x:c r="H60" t="inlineStr">
        <x:is>
          <x:t xml:space="preserve"/>
        </x:is>
      </x:c>
      <x:c r="I60" t="inlineStr">
        <x:is>
          <x:t xml:space="preserve">Procurement/Compliance</x:t>
        </x:is>
      </x:c>
      <x:c r="J60" t="inlineStr">
        <x:is>
          <x:t xml:space="preserve">G4.RISK_COMPLIANCE</x:t>
        </x:is>
      </x:c>
      <x:c r="K60" t="inlineStr">
        <x:is>
          <x:t xml:space="preserve">E19</x:t>
        </x:is>
      </x:c>
      <x:c r="L60" t="inlineStr">
        <x:is>
          <x:t xml:space="preserve">Autofill based on control family defaults; verify with HITL before enforce.</x:t>
        </x:is>
      </x:c>
    </x:row>
    <x:row r="61">
      <x:c r="A61" t="inlineStr">
        <x:is>
          <x:t xml:space="preserve">STA-03</x:t>
        </x:is>
      </x:c>
      <x:c r="B61" t="inlineStr">
        <x:is>
          <x:t xml:space="preserve">STA</x:t>
        </x:is>
      </x:c>
      <x:c r="C61" t="inlineStr">
        <x:is>
          <x:t xml:space="preserve">Network / Infrastructure Services</x:t>
        </x:is>
      </x:c>
      <x:c r="D61" t="inlineStr">
        <x:is>
          <x:t xml:space="preserve"/>
        </x:is>
      </x:c>
      <x:c r="E61" t="inlineStr">
        <x:is>
          <x:t xml:space="preserve">Annual</x:t>
        </x:is>
      </x:c>
      <x:c r="F61" t="inlineStr">
        <x:is>
          <x:t xml:space="preserve"/>
        </x:is>
      </x:c>
      <x:c r="G61" t="inlineStr">
        <x:is>
          <x:t xml:space="preserve">P1</x:t>
        </x:is>
      </x:c>
      <x:c r="H61" t="inlineStr">
        <x:is>
          <x:t xml:space="preserve"/>
        </x:is>
      </x:c>
      <x:c r="I61" t="inlineStr">
        <x:is>
          <x:t xml:space="preserve">Procurement/Compliance</x:t>
        </x:is>
      </x:c>
      <x:c r="J61" t="inlineStr">
        <x:is>
          <x:t xml:space="preserve">G4.RISK_COMPLIANCE</x:t>
        </x:is>
      </x:c>
      <x:c r="K61" t="inlineStr">
        <x:is>
          <x:t xml:space="preserve">E19</x:t>
        </x:is>
      </x:c>
      <x:c r="L61" t="inlineStr">
        <x:is>
          <x:t xml:space="preserve">Autofill based on control family defaults; verify with HITL before enforce.</x:t>
        </x:is>
      </x:c>
    </x:row>
  </x:sheetData>
  <x:pageMargins left="0.7" right="0.7" top="0.75" bottom="0.75" header="0.3" footer="0.3"/>
</x:worksheet>
</file>

<file path=xl/worksheets/sheet15.xml><?xml version="1.0" encoding="utf-8"?>
<x:worksheet xmlns:x="http://schemas.openxmlformats.org/spreadsheetml/2006/main">
  <x:sheetFormatPr defaultRowHeight="15"/>
  <x:sheetData>
    <x:row r="1">
      <x:c r="A1" t="inlineStr">
        <x:is>
          <x:t xml:space="preserve">Mermaid: Tender Intake + Decision + RAG Ingestion</x:t>
        </x:is>
      </x:c>
    </x:row>
    <x:row r="2">
      <x:c r="A2" t="inlineStr">
        <x:is>
          <x:t xml:space="preserve">flowchart TD</x:t>
        </x:is>
      </x:c>
    </x:row>
    <x:row r="3">
      <x:c r="A3" t="inlineStr">
        <x:is>
          <x:t xml:space="preserve">  A[Tender Received] --&gt; B[Log Tender Intake Record]</x:t>
        </x:is>
      </x:c>
    </x:row>
    <x:row r="4">
      <x:c r="A4" t="inlineStr">
        <x:is>
          <x:t xml:space="preserve">  B --&gt; C{Eligibility &amp; Go/No-Go}</x:t>
        </x:is>
      </x:c>
    </x:row>
    <x:row r="5">
      <x:c r="A5" t="inlineStr">
        <x:is>
          <x:t xml:space="preserve">  C --&gt;|No| D[Close as Lost/No-Bid]</x:t>
        </x:is>
      </x:c>
    </x:row>
    <x:row r="6">
      <x:c r="A6" t="inlineStr">
        <x:is>
          <x:t xml:space="preserve">  C --&gt;|Yes| E[Ingest Docs: DMS + RAG]</x:t>
        </x:is>
      </x:c>
    </x:row>
    <x:row r="7">
      <x:c r="A7" t="inlineStr">
        <x:is>
          <x:t xml:space="preserve">  E --&gt; F[Extract Requirements &amp; Checklist]</x:t>
        </x:is>
      </x:c>
    </x:row>
    <x:row r="8">
      <x:c r="A8" t="inlineStr">
        <x:is>
          <x:t xml:space="preserve">  F --&gt; G[Assign Owners + SLAs]</x:t>
        </x:is>
      </x:c>
    </x:row>
    <x:row r="9">
      <x:c r="A9" t="inlineStr">
        <x:is>
          <x:t xml:space="preserve">  G --&gt; H[Draft Technical + Commercial]</x:t>
        </x:is>
      </x:c>
    </x:row>
    <x:row r="10">
      <x:c r="A10" t="inlineStr">
        <x:is>
          <x:t xml:space="preserve">  H --&gt; I[QA/QC + Compliance Checks]</x:t>
        </x:is>
      </x:c>
    </x:row>
    <x:row r="11">
      <x:c r="A11" t="inlineStr">
        <x:is>
          <x:t xml:space="preserve">  I --&gt; J{VP Final Approval}</x:t>
        </x:is>
      </x:c>
    </x:row>
    <x:row r="12">
      <x:c r="A12" t="inlineStr">
        <x:is>
          <x:t xml:space="preserve">  J --&gt;|Approve| K[Submit + Follow-up Log]</x:t>
        </x:is>
      </x:c>
    </x:row>
    <x:row r="13">
      <x:c r="A13" t="inlineStr">
        <x:is>
          <x:t xml:space="preserve">  J --&gt;|Changes| H</x:t>
        </x:is>
      </x:c>
    </x:row>
    <x:row r="14">
      <x:c r="A14" t="inlineStr">
        <x:is>
          <x:t xml:space="preserve">  K --&gt; L[Award/Regret + Lessons Learned]</x:t>
        </x:is>
      </x:c>
    </x:row>
    <x:row r="15">
      <x:c r="A15" t="inlineStr">
        <x:is>
          <x:t xml:space="preserve"/>
        </x:is>
      </x:c>
    </x:row>
    <x:row r="16">
      <x:c r="A16" t="inlineStr">
        <x:is>
          <x:t xml:space="preserve">Mermaid: Uncertainty Closure Loop</x:t>
        </x:is>
      </x:c>
    </x:row>
    <x:row r="17">
      <x:c r="A17" t="inlineStr">
        <x:is>
          <x:t xml:space="preserve">flowchart LR</x:t>
        </x:is>
      </x:c>
    </x:row>
    <x:row r="18">
      <x:c r="A18" t="inlineStr">
        <x:is>
          <x:t xml:space="preserve">  U[Uncertainty Row] --&gt; V[Collect Evidence]</x:t>
        </x:is>
      </x:c>
    </x:row>
    <x:row r="19">
      <x:c r="A19" t="inlineStr">
        <x:is>
          <x:t xml:space="preserve">  V --&gt; W{Decision}</x:t>
        </x:is>
      </x:c>
    </x:row>
    <x:row r="20">
      <x:c r="A20" t="inlineStr">
        <x:is>
          <x:t xml:space="preserve">  W --&gt;|Confirm| X[Update Assumption/Policy]</x:t>
        </x:is>
      </x:c>
    </x:row>
    <x:row r="21">
      <x:c r="A21" t="inlineStr">
        <x:is>
          <x:t xml:space="preserve">  W --&gt;|Defer| Y[Set New Deadline + Escalate]</x:t>
        </x:is>
      </x:c>
    </x:row>
    <x:row r="22">
      <x:c r="A22" t="inlineStr">
        <x:is>
          <x:t xml:space="preserve">  X --&gt; Z[Update RBAC/Workflow/Schema]</x:t>
        </x:is>
      </x:c>
    </x:row>
    <x:row r="23">
      <x:c r="A23" t="inlineStr">
        <x:is>
          <x:t xml:space="preserve">  Z --&gt; AA[Audit Log Entry]</x:t>
        </x:is>
      </x:c>
    </x:row>
  </x:sheetData>
  <x:pageMargins left="0.7" right="0.7" top="0.75" bottom="0.75" header="0.3" footer="0.3"/>
</x:worksheet>
</file>

<file path=xl/worksheets/sheet16.xml><?xml version="1.0" encoding="utf-8"?>
<x:worksheet xmlns:x="http://schemas.openxmlformats.org/spreadsheetml/2006/main">
  <x:sheetFormatPr defaultRowHeight="15"/>
  <x:sheetData>
    <x:row r="1">
      <x:c r="A1" t="inlineStr">
        <x:is>
          <x:t xml:space="preserve">UI Region</x:t>
        </x:is>
      </x:c>
      <x:c r="B1" t="inlineStr">
        <x:is>
          <x:t xml:space="preserve">Key Components</x:t>
        </x:is>
      </x:c>
      <x:c r="C1" t="inlineStr">
        <x:is>
          <x:t xml:space="preserve">Shadcn/Radix Mapping</x:t>
        </x:is>
      </x:c>
      <x:c r="D1" t="inlineStr">
        <x:is>
          <x:t xml:space="preserve">Figma Community Search Query (verify free)</x:t>
        </x:is>
      </x:c>
      <x:c r="E1" t="inlineStr">
        <x:is>
          <x:t xml:space="preserve">Notes</x:t>
        </x:is>
      </x:c>
    </x:row>
    <x:row r="2">
      <x:c r="A2" t="inlineStr">
        <x:is>
          <x:t xml:space="preserve">Shell Layout</x:t>
        </x:is>
      </x:c>
      <x:c r="B2" t="inlineStr">
        <x:is>
          <x:t xml:space="preserve">Sidebar, Header, Breadcrumbs</x:t>
        </x:is>
      </x:c>
      <x:c r="C2" t="inlineStr">
        <x:is>
          <x:t xml:space="preserve">sidebar, breadcrumb, command, dropdown-menu</x:t>
        </x:is>
      </x:c>
      <x:c r="D2" t="inlineStr">
        <x:is>
          <x:t xml:space="preserve">admin dashboard sidebar glassmorphism</x:t>
        </x:is>
      </x:c>
      <x:c r="E2" t="inlineStr">
        <x:is>
          <x:t xml:space="preserve">Based on wireframe v2.0.</x:t>
        </x:is>
      </x:c>
    </x:row>
    <x:row r="3">
      <x:c r="A3" t="inlineStr">
        <x:is>
          <x:t xml:space="preserve">Dashboard</x:t>
        </x:is>
      </x:c>
      <x:c r="B3" t="inlineStr">
        <x:is>
          <x:t xml:space="preserve">KPI Cards, Portfolio List, Alerts Panel</x:t>
        </x:is>
      </x:c>
      <x:c r="C3" t="inlineStr">
        <x:is>
          <x:t xml:space="preserve">card, badge, progress, table, tabs</x:t>
        </x:is>
      </x:c>
      <x:c r="D3" t="inlineStr">
        <x:is>
          <x:t xml:space="preserve">kpi cards dashboard ui kit</x:t>
        </x:is>
      </x:c>
      <x:c r="E3" t="inlineStr">
        <x:is>
          <x:t xml:space="preserve">KPI trend charts via Recharts.</x:t>
        </x:is>
      </x:c>
    </x:row>
    <x:row r="4">
      <x:c r="A4" t="inlineStr">
        <x:is>
          <x:t xml:space="preserve">Projects</x:t>
        </x:is>
      </x:c>
      <x:c r="B4" t="inlineStr">
        <x:is>
          <x:t xml:space="preserve">Data table + Tabs + Timeline</x:t>
        </x:is>
      </x:c>
      <x:c r="C4" t="inlineStr">
        <x:is>
          <x:t xml:space="preserve">data-table, tabs, calendar/timeline</x:t>
        </x:is>
      </x:c>
      <x:c r="D4" t="inlineStr">
        <x:is>
          <x:t xml:space="preserve">project management dashboard figma</x:t>
        </x:is>
      </x:c>
      <x:c r="E4" t="inlineStr">
        <x:is>
          <x:t xml:space="preserve">Timeline may need custom component.</x:t>
        </x:is>
      </x:c>
    </x:row>
    <x:row r="5">
      <x:c r="A5" t="inlineStr">
        <x:is>
          <x:t xml:space="preserve">Tenders</x:t>
        </x:is>
      </x:c>
      <x:c r="B5" t="inlineStr">
        <x:is>
          <x:t xml:space="preserve">Kanban + Detail panel + Countdown</x:t>
        </x:is>
      </x:c>
      <x:c r="C5" t="inlineStr">
        <x:is>
          <x:t xml:space="preserve">kanban (custom), badge, card, toast</x:t>
        </x:is>
      </x:c>
      <x:c r="D5" t="inlineStr">
        <x:is>
          <x:t xml:space="preserve">kanban board dashboard figma free</x:t>
        </x:is>
      </x:c>
      <x:c r="E5" t="inlineStr">
        <x:is>
          <x:t xml:space="preserve">Countdown is simple text + badge.</x:t>
        </x:is>
      </x:c>
    </x:row>
    <x:row r="6">
      <x:c r="A6" t="inlineStr">
        <x:is>
          <x:t xml:space="preserve">Documents</x:t>
        </x:is>
      </x:c>
      <x:c r="B6" t="inlineStr">
        <x:is>
          <x:t xml:space="preserve">File explorer + version history</x:t>
        </x:is>
      </x:c>
      <x:c r="C6" t="inlineStr">
        <x:is>
          <x:t xml:space="preserve">tree view (custom), table, dialog</x:t>
        </x:is>
      </x:c>
      <x:c r="D6" t="inlineStr">
        <x:is>
          <x:t xml:space="preserve">file manager ui kit figma free</x:t>
        </x:is>
      </x:c>
      <x:c r="E6" t="inlineStr">
        <x:is>
          <x:t xml:space="preserve">Version history modal.</x:t>
        </x:is>
      </x:c>
    </x:row>
    <x:row r="7">
      <x:c r="A7" t="inlineStr">
        <x:is>
          <x:t xml:space="preserve">AI Agent Console</x:t>
        </x:is>
      </x:c>
      <x:c r="B7" t="inlineStr">
        <x:is>
          <x:t xml:space="preserve">Chat UI + Status grid</x:t>
        </x:is>
      </x:c>
      <x:c r="C7" t="inlineStr">
        <x:is>
          <x:t xml:space="preserve">textarea, scroll-area, card, table</x:t>
        </x:is>
      </x:c>
      <x:c r="D7" t="inlineStr">
        <x:is>
          <x:t xml:space="preserve">chat ui dashboard figma free</x:t>
        </x:is>
      </x:c>
      <x:c r="E7" t="inlineStr">
        <x:is>
          <x:t xml:space="preserve">Status grid cards.</x:t>
        </x:is>
      </x:c>
    </x:row>
  </x:sheetData>
  <x:pageMargins left="0.7" right="0.7" top="0.75" bottom="0.75" header="0.3" footer="0.3"/>
</x:worksheet>
</file>