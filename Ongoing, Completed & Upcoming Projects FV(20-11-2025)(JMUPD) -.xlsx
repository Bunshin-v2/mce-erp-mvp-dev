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khal\Downloads\"/>
    </mc:Choice>
  </mc:AlternateContent>
  <xr:revisionPtr revIDLastSave="0" documentId="8_{002C2081-5FC3-475A-80DA-1A4F8A591E31}" xr6:coauthVersionLast="47" xr6:coauthVersionMax="47" xr10:uidLastSave="{00000000-0000-0000-0000-000000000000}"/>
  <bookViews>
    <workbookView xWindow="-120" yWindow="-120" windowWidth="29040" windowHeight="15720" xr2:uid="{0E7FFA7A-9070-403B-89E7-509BBFBFE5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6" i="1" l="1"/>
  <c r="H22" i="1"/>
  <c r="H28" i="1" l="1"/>
  <c r="L19" i="1"/>
</calcChain>
</file>

<file path=xl/sharedStrings.xml><?xml version="1.0" encoding="utf-8"?>
<sst xmlns="http://schemas.openxmlformats.org/spreadsheetml/2006/main" count="316" uniqueCount="151">
  <si>
    <t>Project Name</t>
  </si>
  <si>
    <t>Client Name</t>
  </si>
  <si>
    <t>Project Location</t>
  </si>
  <si>
    <t>Scope of Work</t>
  </si>
  <si>
    <t>Project Type</t>
  </si>
  <si>
    <t>Contract Value (AED)</t>
  </si>
  <si>
    <t>Contract Duration</t>
  </si>
  <si>
    <t>Project Status</t>
  </si>
  <si>
    <t>Commencement Date</t>
  </si>
  <si>
    <t>New Corniche Hospital</t>
  </si>
  <si>
    <t>RAFED</t>
  </si>
  <si>
    <t>Abu Dhabi</t>
  </si>
  <si>
    <t>Full Design &amp; Construction Supervision</t>
  </si>
  <si>
    <t>Healthcare</t>
  </si>
  <si>
    <t>New Corniche Hospital - Royal Suites - V01</t>
  </si>
  <si>
    <t>Design Services</t>
  </si>
  <si>
    <t>New Corniche Hospital - Royal Suites - V02</t>
  </si>
  <si>
    <t>New Corniche Hospital - SKMC Retail / Mosque - V03</t>
  </si>
  <si>
    <t>Authority Approval / Permitting</t>
  </si>
  <si>
    <t>New Corniche Hospital - Biomed Tender Package - V04</t>
  </si>
  <si>
    <t>AD Police Saadiyat D2</t>
  </si>
  <si>
    <t>AD POLICE</t>
  </si>
  <si>
    <t>Governmental</t>
  </si>
  <si>
    <t>AD Police Saadiyat D3</t>
  </si>
  <si>
    <t>AD Police Training Hangar - Tarif</t>
  </si>
  <si>
    <t>Abu Dhabi, Western Region</t>
  </si>
  <si>
    <t>Civil Defence Al Shawamekh - C</t>
  </si>
  <si>
    <t>AD Police Beda Mutawah</t>
  </si>
  <si>
    <t>AD Police, Emergency, and Civil Defence - Rahayel</t>
  </si>
  <si>
    <t>STMC Multi-Storey Parking</t>
  </si>
  <si>
    <t>Al Ain</t>
  </si>
  <si>
    <t>Long Term Care Center</t>
  </si>
  <si>
    <t>Al Jalila Foundation</t>
  </si>
  <si>
    <t>Dubai</t>
  </si>
  <si>
    <t>Majlis (2) Al Dhafra</t>
  </si>
  <si>
    <t>Presidential Court</t>
  </si>
  <si>
    <t>Design Review &amp; Supervision</t>
  </si>
  <si>
    <t>Majalis Phase 3 (No 5) Supervision</t>
  </si>
  <si>
    <t>Construction Supervision</t>
  </si>
  <si>
    <t>Arab Monetary Fund Fitout &amp; Façade</t>
  </si>
  <si>
    <t>Arab Monetary Fund</t>
  </si>
  <si>
    <t>Design &amp; Supervision</t>
  </si>
  <si>
    <t>Commercial</t>
  </si>
  <si>
    <t>Al Ghurair Rehabilitation Center</t>
  </si>
  <si>
    <t>Al Ghurair Centre</t>
  </si>
  <si>
    <t>SSMC Staff Parking Phase I</t>
  </si>
  <si>
    <t>SSMC/RAFED</t>
  </si>
  <si>
    <t>Design Build</t>
  </si>
  <si>
    <t>SSMC Staff Parking Phase II</t>
  </si>
  <si>
    <t xml:space="preserve">Al Kheiran Villa </t>
  </si>
  <si>
    <t>Full Design &amp; Supervision</t>
  </si>
  <si>
    <t>Tawazun Industrial Park</t>
  </si>
  <si>
    <t>6 months</t>
  </si>
  <si>
    <t>Construction</t>
  </si>
  <si>
    <t>Estimated Completion Date</t>
  </si>
  <si>
    <t>Tender Documents</t>
  </si>
  <si>
    <t>5  Years</t>
  </si>
  <si>
    <t>6 Months</t>
  </si>
  <si>
    <t>9 Months</t>
  </si>
  <si>
    <t>3 Months</t>
  </si>
  <si>
    <t>Awaiting Building Permit</t>
  </si>
  <si>
    <t>Client Review</t>
  </si>
  <si>
    <t>The Farm house</t>
  </si>
  <si>
    <t>The Beach House</t>
  </si>
  <si>
    <t>Converting  group of villas into a specialized hospital</t>
  </si>
  <si>
    <t>Al Gurm Island Villa</t>
  </si>
  <si>
    <t>SSMC - Strategic Internal Expansion</t>
  </si>
  <si>
    <t xml:space="preserve">Healthcare </t>
  </si>
  <si>
    <t>Abu Dhabi &amp; Al Ain</t>
  </si>
  <si>
    <t>Institutional</t>
  </si>
  <si>
    <t>Residential</t>
  </si>
  <si>
    <t>Design</t>
  </si>
  <si>
    <t>Full Design</t>
  </si>
  <si>
    <t>Fit out</t>
  </si>
  <si>
    <t>Design &amp; Build</t>
  </si>
  <si>
    <t>Pre concept</t>
  </si>
  <si>
    <t>Abu Dhabi Agriculture &amp; Food Safety Authority (ADAFSA)</t>
  </si>
  <si>
    <t>ZAAD DEVELOPMENT LLC</t>
  </si>
  <si>
    <t>Dubai Health</t>
  </si>
  <si>
    <t>Al Ghurair</t>
  </si>
  <si>
    <t>Facelift Enhancement Projects at SKMC and Tawam Hospital</t>
  </si>
  <si>
    <t>Abu Dhabi Plant Tissue Culture Lab</t>
  </si>
  <si>
    <t>New Hospital at Delma Island - Abu Dhabi</t>
  </si>
  <si>
    <t>Agricultural Genome Bank Design</t>
  </si>
  <si>
    <t>Lusaili &amp; Lahbab</t>
  </si>
  <si>
    <t>Majlis Al  Amal Ground Floor, Building No: 12, DHCC, Dubai, UAE</t>
  </si>
  <si>
    <t>Development of Up to Five (5) Clinics</t>
  </si>
  <si>
    <t xml:space="preserve">Central Honeybee Pest and Disease Laboratory </t>
  </si>
  <si>
    <t>Tawazun</t>
  </si>
  <si>
    <t>AI Hospital - Private</t>
  </si>
  <si>
    <t>Construction Ongoing</t>
  </si>
  <si>
    <t>Tender Stage</t>
  </si>
  <si>
    <t>Schematic Stage (Design)</t>
  </si>
  <si>
    <t>Concept Stage (Design)</t>
  </si>
  <si>
    <t xml:space="preserve">Emirates Limited </t>
  </si>
  <si>
    <t>Dubai, UAE</t>
  </si>
  <si>
    <t>Supervision</t>
  </si>
  <si>
    <t>Completed</t>
  </si>
  <si>
    <t>16 Months</t>
  </si>
  <si>
    <t>35 Months</t>
  </si>
  <si>
    <t>Perla Towers 1</t>
  </si>
  <si>
    <t xml:space="preserve">Completed </t>
  </si>
  <si>
    <t>DLP Period</t>
  </si>
  <si>
    <t>5 Months</t>
  </si>
  <si>
    <t>12 Months</t>
  </si>
  <si>
    <t>11 Months</t>
  </si>
  <si>
    <t>1 Year</t>
  </si>
  <si>
    <t>25 Months</t>
  </si>
  <si>
    <t>21 Months</t>
  </si>
  <si>
    <t>24 Months</t>
  </si>
  <si>
    <t>36 Months</t>
  </si>
  <si>
    <t>27 Months</t>
  </si>
  <si>
    <t>21  Months</t>
  </si>
  <si>
    <t>48 Months</t>
  </si>
  <si>
    <t>Pre-Award / Tender Stage</t>
  </si>
  <si>
    <t>Industrial</t>
  </si>
  <si>
    <t xml:space="preserve"> Tender Stage</t>
  </si>
  <si>
    <t>Specialized Rehab Hospital Extension</t>
  </si>
  <si>
    <t xml:space="preserve">IMKAN Properties </t>
  </si>
  <si>
    <t>Design Consultancy Services</t>
  </si>
  <si>
    <t>38 Months</t>
  </si>
  <si>
    <t>Pre-Award</t>
  </si>
  <si>
    <t>30 Months</t>
  </si>
  <si>
    <t xml:space="preserve">80-Bed General Hospital </t>
  </si>
  <si>
    <t>Abu Dhabi Stem Cell Research Lab &amp; Hospital</t>
  </si>
  <si>
    <t>Abu Dhabi Stem Cell Center</t>
  </si>
  <si>
    <t>ONGOING</t>
  </si>
  <si>
    <t>RECENTLY COMPLETED CONTRACTS</t>
  </si>
  <si>
    <t>UPCOMING PROJECTS</t>
  </si>
  <si>
    <t>Ongoing</t>
  </si>
  <si>
    <t>Remark</t>
  </si>
  <si>
    <t>Total</t>
  </si>
  <si>
    <t>Perla Tower 1 &amp;2</t>
  </si>
  <si>
    <t>2023.010.HLT.012</t>
  </si>
  <si>
    <t>Project Code</t>
  </si>
  <si>
    <t>Design and Supervision Services for New Corniche Hospital at SKMC - Abu Dhabi.</t>
  </si>
  <si>
    <t>Design and Supervision Services for New Corniche Hospital at SKMC - Abu Dhabi.
VO1: 8th Floor Royal Suite (New Comments &amp; Requirements as per SEHA email Dated: May 01/2024)</t>
  </si>
  <si>
    <t>8th Floor Royal Suite -in collaboration  with KM2K</t>
  </si>
  <si>
    <t>SKMC New Mosque &amp; Retail Shops -Reapproval-20% Advance</t>
  </si>
  <si>
    <t>Biomedical Package</t>
  </si>
  <si>
    <t xml:space="preserve">Saadiyat
 Island - D2 </t>
  </si>
  <si>
    <t xml:space="preserve">Saadiyat 
Island - D3 </t>
  </si>
  <si>
    <t>Shawamekh</t>
  </si>
  <si>
    <t>Training Aviation</t>
  </si>
  <si>
    <t>Bida Mutawa</t>
  </si>
  <si>
    <t>Rahayel</t>
  </si>
  <si>
    <t xml:space="preserve">Multi Story car parking </t>
  </si>
  <si>
    <t>2024.004.HLT-002</t>
  </si>
  <si>
    <t>The Project was on hold</t>
  </si>
  <si>
    <t>MCE- PROJECTS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</si>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</sst>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Plus Jakarta Sans"/>
    </font>
    <font>
      <sz val="9"/>
      <color theme="1"/>
      <name val="Plus Jakarta Sans"/>
    </font>
    <font>
      <sz val="11"/>
      <color theme="1"/>
      <name val="Plus Jakarta Sans"/>
    </font>
    <font>
      <b/>
      <sz val="9"/>
      <color rgb="FF000000"/>
      <name val="Plus Jakarta Sans"/>
    </font>
    <font>
      <sz val="9"/>
      <color rgb="FF000000"/>
      <name val="Plus Jakarta Sans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DAE9F8"/>
        <bgColor rgb="FF000000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91">
    <xf numFmtId="0" fontId="0" fillId="0" borderId="0" xfId="0"/>
    <xf numFmtId="0" fontId="4" fillId="0" borderId="0" xfId="0" applyFont="1"/>
    <xf numFmtId="0" fontId="5" fillId="0" borderId="0" xfId="0" applyFont="1"/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" fontId="7" fillId="0" borderId="2" xfId="0" applyNumberFormat="1" applyFont="1" applyBorder="1" applyAlignment="1">
      <alignment horizontal="right" vertical="center"/>
    </xf>
    <xf numFmtId="17" fontId="7" fillId="0" borderId="2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43" fontId="7" fillId="0" borderId="10" xfId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left" vertical="center" indent="1"/>
    </xf>
    <xf numFmtId="0" fontId="7" fillId="2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4" fontId="6" fillId="2" borderId="15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4" fontId="7" fillId="2" borderId="2" xfId="0" applyNumberFormat="1" applyFont="1" applyFill="1" applyBorder="1" applyAlignment="1">
      <alignment horizontal="right" vertical="center"/>
    </xf>
    <xf numFmtId="17" fontId="7" fillId="2" borderId="2" xfId="0" applyNumberFormat="1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43" fontId="7" fillId="2" borderId="19" xfId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43" fontId="7" fillId="2" borderId="2" xfId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7" fontId="7" fillId="2" borderId="3" xfId="0" applyNumberFormat="1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43" fontId="7" fillId="2" borderId="11" xfId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center" vertical="center"/>
    </xf>
    <xf numFmtId="43" fontId="3" fillId="0" borderId="16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indent="1"/>
    </xf>
    <xf numFmtId="0" fontId="6" fillId="2" borderId="21" xfId="0" applyFont="1" applyFill="1" applyBorder="1" applyAlignment="1">
      <alignment horizontal="left" vertical="center" indent="1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16" fontId="7" fillId="0" borderId="10" xfId="0" applyNumberFormat="1" applyFont="1" applyBorder="1" applyAlignment="1">
      <alignment horizontal="center" vertical="center"/>
    </xf>
    <xf numFmtId="17" fontId="7" fillId="0" borderId="10" xfId="0" applyNumberFormat="1" applyFont="1" applyBorder="1" applyAlignment="1">
      <alignment horizontal="center" vertical="center"/>
    </xf>
    <xf numFmtId="17" fontId="7" fillId="2" borderId="8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17" fontId="7" fillId="2" borderId="10" xfId="0" applyNumberFormat="1" applyFont="1" applyFill="1" applyBorder="1" applyAlignment="1">
      <alignment horizontal="center" vertical="center"/>
    </xf>
    <xf numFmtId="17" fontId="7" fillId="2" borderId="9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/>
    </xf>
    <xf numFmtId="4" fontId="7" fillId="2" borderId="23" xfId="0" applyNumberFormat="1" applyFont="1" applyFill="1" applyBorder="1" applyAlignment="1">
      <alignment horizontal="right" vertical="center"/>
    </xf>
    <xf numFmtId="17" fontId="7" fillId="2" borderId="23" xfId="0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4" fontId="7" fillId="2" borderId="10" xfId="0" applyNumberFormat="1" applyFon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left" vertical="center" indent="1"/>
    </xf>
    <xf numFmtId="0" fontId="6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4" fillId="0" borderId="22" xfId="0" applyFont="1" applyBorder="1"/>
    <xf numFmtId="0" fontId="6" fillId="0" borderId="1" xfId="0" applyFont="1" applyBorder="1" applyAlignment="1">
      <alignment horizontal="left" vertical="center" indent="1"/>
    </xf>
    <xf numFmtId="17" fontId="7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 indent="1"/>
    </xf>
    <xf numFmtId="0" fontId="6" fillId="0" borderId="24" xfId="0" applyFont="1" applyBorder="1" applyAlignment="1">
      <alignment horizontal="left" vertical="center" indent="1"/>
    </xf>
    <xf numFmtId="17" fontId="7" fillId="0" borderId="25" xfId="0" applyNumberFormat="1" applyFont="1" applyBorder="1" applyAlignment="1">
      <alignment horizontal="center" vertical="center"/>
    </xf>
    <xf numFmtId="0" fontId="6" fillId="2" borderId="26" xfId="0" applyFont="1" applyFill="1" applyBorder="1" applyAlignment="1">
      <alignment horizontal="left" vertical="center" indent="1"/>
    </xf>
    <xf numFmtId="0" fontId="4" fillId="0" borderId="27" xfId="0" applyFont="1" applyBorder="1"/>
    <xf numFmtId="0" fontId="4" fillId="0" borderId="3" xfId="0" applyFont="1" applyBorder="1"/>
    <xf numFmtId="0" fontId="6" fillId="2" borderId="24" xfId="0" applyFont="1" applyFill="1" applyBorder="1" applyAlignment="1">
      <alignment horizontal="left" vertical="center" indent="1"/>
    </xf>
    <xf numFmtId="0" fontId="4" fillId="0" borderId="25" xfId="0" applyFont="1" applyBorder="1"/>
    <xf numFmtId="0" fontId="4" fillId="0" borderId="12" xfId="0" applyFont="1" applyBorder="1"/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</cellXfs>
  <cellStyles count="3">
    <cellStyle name="Comma" xfId="1" builtinId="3"/>
    <cellStyle name="Comma 2" xfId="2" xr:uid="{A5666AC6-C319-4C0D-8549-996F1F827E9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BAFF-59B9-4133-BA5C-BED50AA5B1A2}">
  <sheetPr>
    <pageSetUpPr fitToPage="1"/>
  </sheetPr>
  <dimension ref="A1:Q50"/>
  <sheetViews>
    <sheetView tabSelected="1" topLeftCell="D3" zoomScaleNormal="100" workbookViewId="0">
      <selection activeCell="B50" sqref="B50"/>
    </sheetView>
  </sheetViews>
  <sheetFormatPr defaultRowHeight="21.75" x14ac:dyDescent="0.5"/>
  <cols>
    <col min="1" max="1" width="55.7109375" style="39" bestFit="1" customWidth="1"/>
    <col min="2" max="2" width="49.7109375" style="40" bestFit="1" customWidth="1"/>
    <col min="3" max="3" width="43.140625" style="41" bestFit="1" customWidth="1"/>
    <col min="4" max="4" width="18" style="40" bestFit="1" customWidth="1"/>
    <col min="5" max="5" width="23.85546875" style="40" bestFit="1" customWidth="1"/>
    <col min="6" max="6" width="39.85546875" style="39" customWidth="1"/>
    <col min="7" max="7" width="19.7109375" style="40" customWidth="1"/>
    <col min="8" max="8" width="25.28515625" style="40" customWidth="1"/>
    <col min="9" max="9" width="23.28515625" style="40" bestFit="1" customWidth="1"/>
    <col min="10" max="10" width="25.42578125" style="40" customWidth="1"/>
    <col min="11" max="11" width="25.7109375" style="40" bestFit="1" customWidth="1"/>
    <col min="12" max="12" width="31.5703125" style="40" customWidth="1"/>
    <col min="13" max="13" width="24" style="2" bestFit="1" customWidth="1"/>
    <col min="14" max="16384" width="9.140625" style="2"/>
  </cols>
  <sheetData>
    <row r="1" spans="1:17" ht="23.25" customHeight="1" thickBot="1" x14ac:dyDescent="0.55000000000000004">
      <c r="A1" s="90" t="s">
        <v>149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1"/>
      <c r="O1" s="1"/>
      <c r="P1" s="1"/>
      <c r="Q1" s="1"/>
    </row>
    <row r="2" spans="1:17" ht="22.15" customHeight="1" thickBot="1" x14ac:dyDescent="0.55000000000000004">
      <c r="A2" s="3" t="s">
        <v>0</v>
      </c>
      <c r="B2" s="4" t="s">
        <v>1</v>
      </c>
      <c r="C2" s="5" t="s">
        <v>0</v>
      </c>
      <c r="D2" s="4" t="s">
        <v>134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6" t="s">
        <v>54</v>
      </c>
      <c r="M2" s="6" t="s">
        <v>130</v>
      </c>
      <c r="N2" s="1"/>
      <c r="O2" s="1"/>
      <c r="P2" s="1"/>
      <c r="Q2" s="1"/>
    </row>
    <row r="3" spans="1:17" ht="22.15" customHeight="1" thickBot="1" x14ac:dyDescent="0.55000000000000004">
      <c r="A3" s="87" t="s">
        <v>126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9"/>
      <c r="M3" s="63"/>
      <c r="N3" s="1"/>
      <c r="O3" s="1"/>
      <c r="P3" s="1"/>
      <c r="Q3" s="1"/>
    </row>
    <row r="4" spans="1:17" ht="18" customHeight="1" x14ac:dyDescent="0.5">
      <c r="A4" s="76" t="s">
        <v>9</v>
      </c>
      <c r="B4" s="48" t="s">
        <v>10</v>
      </c>
      <c r="C4" s="50" t="s">
        <v>135</v>
      </c>
      <c r="D4" s="7" t="s">
        <v>133</v>
      </c>
      <c r="E4" s="7" t="s">
        <v>11</v>
      </c>
      <c r="F4" s="7" t="s">
        <v>12</v>
      </c>
      <c r="G4" s="7" t="s">
        <v>13</v>
      </c>
      <c r="H4" s="8">
        <v>57000000</v>
      </c>
      <c r="I4" s="7" t="s">
        <v>56</v>
      </c>
      <c r="J4" s="7" t="s">
        <v>53</v>
      </c>
      <c r="K4" s="7">
        <v>2022</v>
      </c>
      <c r="L4" s="7">
        <v>2028</v>
      </c>
      <c r="M4" s="77" t="s">
        <v>148</v>
      </c>
      <c r="N4" s="1"/>
      <c r="O4" s="1"/>
      <c r="P4" s="1"/>
      <c r="Q4" s="1"/>
    </row>
    <row r="5" spans="1:17" ht="18" customHeight="1" x14ac:dyDescent="0.5">
      <c r="A5" s="76" t="s">
        <v>14</v>
      </c>
      <c r="B5" s="48" t="s">
        <v>10</v>
      </c>
      <c r="C5" s="51" t="s">
        <v>136</v>
      </c>
      <c r="D5" s="7"/>
      <c r="E5" s="7" t="s">
        <v>11</v>
      </c>
      <c r="F5" s="7" t="s">
        <v>15</v>
      </c>
      <c r="G5" s="7" t="s">
        <v>13</v>
      </c>
      <c r="H5" s="8">
        <v>1638308</v>
      </c>
      <c r="I5" s="7" t="s">
        <v>58</v>
      </c>
      <c r="J5" s="7" t="s">
        <v>55</v>
      </c>
      <c r="K5" s="9">
        <v>45413</v>
      </c>
      <c r="L5" s="9">
        <v>46048</v>
      </c>
      <c r="M5" s="77"/>
      <c r="N5" s="1"/>
      <c r="O5" s="1"/>
      <c r="P5" s="1"/>
      <c r="Q5" s="1"/>
    </row>
    <row r="6" spans="1:17" ht="18" customHeight="1" x14ac:dyDescent="0.5">
      <c r="A6" s="76" t="s">
        <v>16</v>
      </c>
      <c r="B6" s="48" t="s">
        <v>10</v>
      </c>
      <c r="C6" s="50" t="s">
        <v>137</v>
      </c>
      <c r="D6" s="7"/>
      <c r="E6" s="7" t="s">
        <v>11</v>
      </c>
      <c r="F6" s="7" t="s">
        <v>15</v>
      </c>
      <c r="G6" s="7" t="s">
        <v>13</v>
      </c>
      <c r="H6" s="8">
        <v>1227096</v>
      </c>
      <c r="I6" s="7" t="s">
        <v>57</v>
      </c>
      <c r="J6" s="7" t="s">
        <v>55</v>
      </c>
      <c r="K6" s="9">
        <v>45821</v>
      </c>
      <c r="L6" s="9">
        <v>46023</v>
      </c>
      <c r="M6" s="77"/>
      <c r="N6" s="1"/>
      <c r="O6" s="1"/>
      <c r="P6" s="1"/>
      <c r="Q6" s="1"/>
    </row>
    <row r="7" spans="1:17" ht="18" customHeight="1" x14ac:dyDescent="0.5">
      <c r="A7" s="76" t="s">
        <v>17</v>
      </c>
      <c r="B7" s="48" t="s">
        <v>10</v>
      </c>
      <c r="C7" s="50" t="s">
        <v>138</v>
      </c>
      <c r="D7" s="7"/>
      <c r="E7" s="7" t="s">
        <v>11</v>
      </c>
      <c r="F7" s="7" t="s">
        <v>18</v>
      </c>
      <c r="G7" s="7" t="s">
        <v>13</v>
      </c>
      <c r="H7" s="8">
        <v>140000</v>
      </c>
      <c r="I7" s="7" t="s">
        <v>59</v>
      </c>
      <c r="J7" s="7" t="s">
        <v>60</v>
      </c>
      <c r="K7" s="9">
        <v>45809</v>
      </c>
      <c r="L7" s="9">
        <v>46048</v>
      </c>
      <c r="M7" s="77"/>
      <c r="N7" s="1"/>
      <c r="O7" s="1"/>
      <c r="P7" s="1"/>
      <c r="Q7" s="1"/>
    </row>
    <row r="8" spans="1:17" ht="18" customHeight="1" x14ac:dyDescent="0.5">
      <c r="A8" s="76" t="s">
        <v>19</v>
      </c>
      <c r="B8" s="48" t="s">
        <v>10</v>
      </c>
      <c r="C8" s="50" t="s">
        <v>139</v>
      </c>
      <c r="D8" s="7"/>
      <c r="E8" s="7" t="s">
        <v>11</v>
      </c>
      <c r="F8" s="7" t="s">
        <v>15</v>
      </c>
      <c r="G8" s="7" t="s">
        <v>13</v>
      </c>
      <c r="H8" s="8">
        <v>300000</v>
      </c>
      <c r="I8" s="7" t="s">
        <v>59</v>
      </c>
      <c r="J8" s="7" t="s">
        <v>61</v>
      </c>
      <c r="K8" s="9">
        <v>45870</v>
      </c>
      <c r="L8" s="9">
        <v>45992</v>
      </c>
      <c r="M8" s="77"/>
      <c r="N8" s="1"/>
      <c r="O8" s="1"/>
      <c r="P8" s="1"/>
      <c r="Q8" s="1"/>
    </row>
    <row r="9" spans="1:17" ht="18" customHeight="1" x14ac:dyDescent="0.5">
      <c r="A9" s="78" t="s">
        <v>20</v>
      </c>
      <c r="B9" s="48" t="s">
        <v>21</v>
      </c>
      <c r="C9" s="48" t="s">
        <v>140</v>
      </c>
      <c r="D9" s="7"/>
      <c r="E9" s="7" t="s">
        <v>11</v>
      </c>
      <c r="F9" s="7" t="s">
        <v>12</v>
      </c>
      <c r="G9" s="7" t="s">
        <v>22</v>
      </c>
      <c r="H9" s="8">
        <v>1212522.6432000003</v>
      </c>
      <c r="I9" s="7" t="s">
        <v>98</v>
      </c>
      <c r="J9" s="7" t="s">
        <v>91</v>
      </c>
      <c r="K9" s="9">
        <v>46023</v>
      </c>
      <c r="L9" s="9">
        <v>46388</v>
      </c>
      <c r="M9" s="77"/>
      <c r="N9" s="1"/>
      <c r="O9" s="1"/>
      <c r="P9" s="1"/>
      <c r="Q9" s="1"/>
    </row>
    <row r="10" spans="1:17" ht="18" customHeight="1" x14ac:dyDescent="0.5">
      <c r="A10" s="78" t="s">
        <v>23</v>
      </c>
      <c r="B10" s="48" t="s">
        <v>21</v>
      </c>
      <c r="C10" s="48" t="s">
        <v>141</v>
      </c>
      <c r="D10" s="7"/>
      <c r="E10" s="7" t="s">
        <v>11</v>
      </c>
      <c r="F10" s="7" t="s">
        <v>12</v>
      </c>
      <c r="G10" s="7" t="s">
        <v>22</v>
      </c>
      <c r="H10" s="8">
        <v>1215976.8768</v>
      </c>
      <c r="I10" s="7" t="s">
        <v>98</v>
      </c>
      <c r="J10" s="7" t="s">
        <v>90</v>
      </c>
      <c r="K10" s="9">
        <v>45962</v>
      </c>
      <c r="L10" s="9">
        <v>46266</v>
      </c>
      <c r="M10" s="77"/>
      <c r="N10" s="1"/>
      <c r="O10" s="1"/>
      <c r="P10" s="1"/>
      <c r="Q10" s="1"/>
    </row>
    <row r="11" spans="1:17" ht="18" customHeight="1" x14ac:dyDescent="0.5">
      <c r="A11" s="78" t="s">
        <v>24</v>
      </c>
      <c r="B11" s="48" t="s">
        <v>21</v>
      </c>
      <c r="C11" s="48" t="s">
        <v>142</v>
      </c>
      <c r="D11" s="7"/>
      <c r="E11" s="7" t="s">
        <v>11</v>
      </c>
      <c r="F11" s="7" t="s">
        <v>12</v>
      </c>
      <c r="G11" s="7" t="s">
        <v>22</v>
      </c>
      <c r="H11" s="8">
        <v>1248975.04</v>
      </c>
      <c r="I11" s="7" t="s">
        <v>98</v>
      </c>
      <c r="J11" s="7" t="s">
        <v>90</v>
      </c>
      <c r="K11" s="9">
        <v>46054</v>
      </c>
      <c r="L11" s="9">
        <v>46357</v>
      </c>
      <c r="M11" s="77"/>
      <c r="N11" s="1"/>
      <c r="O11" s="1"/>
      <c r="P11" s="1"/>
      <c r="Q11" s="1"/>
    </row>
    <row r="12" spans="1:17" ht="18" customHeight="1" x14ac:dyDescent="0.5">
      <c r="A12" s="78" t="s">
        <v>26</v>
      </c>
      <c r="B12" s="48" t="s">
        <v>21</v>
      </c>
      <c r="C12" s="48" t="s">
        <v>143</v>
      </c>
      <c r="D12" s="7"/>
      <c r="E12" s="7" t="s">
        <v>11</v>
      </c>
      <c r="F12" s="7" t="s">
        <v>12</v>
      </c>
      <c r="G12" s="7" t="s">
        <v>22</v>
      </c>
      <c r="H12" s="8">
        <v>1928500</v>
      </c>
      <c r="I12" s="7" t="s">
        <v>98</v>
      </c>
      <c r="J12" s="7" t="s">
        <v>91</v>
      </c>
      <c r="K12" s="9">
        <v>45962</v>
      </c>
      <c r="L12" s="9">
        <v>46266</v>
      </c>
      <c r="M12" s="77"/>
      <c r="N12" s="1"/>
      <c r="O12" s="1"/>
      <c r="P12" s="1"/>
      <c r="Q12" s="1"/>
    </row>
    <row r="13" spans="1:17" ht="18" customHeight="1" x14ac:dyDescent="0.5">
      <c r="A13" s="78" t="s">
        <v>27</v>
      </c>
      <c r="B13" s="48" t="s">
        <v>21</v>
      </c>
      <c r="C13" s="48" t="s">
        <v>144</v>
      </c>
      <c r="D13" s="7"/>
      <c r="E13" s="7" t="s">
        <v>11</v>
      </c>
      <c r="F13" s="7" t="s">
        <v>12</v>
      </c>
      <c r="G13" s="7" t="s">
        <v>22</v>
      </c>
      <c r="H13" s="8">
        <v>1465721.8211600001</v>
      </c>
      <c r="I13" s="7" t="s">
        <v>98</v>
      </c>
      <c r="J13" s="7" t="s">
        <v>91</v>
      </c>
      <c r="K13" s="9">
        <v>45992</v>
      </c>
      <c r="L13" s="9">
        <v>46296</v>
      </c>
      <c r="M13" s="77"/>
      <c r="N13" s="1"/>
      <c r="O13" s="1"/>
      <c r="P13" s="1"/>
      <c r="Q13" s="1"/>
    </row>
    <row r="14" spans="1:17" ht="18" customHeight="1" x14ac:dyDescent="0.5">
      <c r="A14" s="76" t="s">
        <v>28</v>
      </c>
      <c r="B14" s="48" t="s">
        <v>21</v>
      </c>
      <c r="C14" s="48" t="s">
        <v>145</v>
      </c>
      <c r="D14" s="7"/>
      <c r="E14" s="7" t="s">
        <v>11</v>
      </c>
      <c r="F14" s="7" t="s">
        <v>12</v>
      </c>
      <c r="G14" s="7" t="s">
        <v>22</v>
      </c>
      <c r="H14" s="8">
        <v>1047290.4</v>
      </c>
      <c r="I14" s="7" t="s">
        <v>98</v>
      </c>
      <c r="J14" s="7" t="s">
        <v>91</v>
      </c>
      <c r="K14" s="9">
        <v>46023</v>
      </c>
      <c r="L14" s="9">
        <v>46388</v>
      </c>
      <c r="M14" s="77"/>
      <c r="N14" s="1"/>
      <c r="O14" s="1"/>
      <c r="P14" s="1"/>
      <c r="Q14" s="1"/>
    </row>
    <row r="15" spans="1:17" ht="18" customHeight="1" x14ac:dyDescent="0.5">
      <c r="A15" s="76" t="s">
        <v>29</v>
      </c>
      <c r="B15" s="48" t="s">
        <v>10</v>
      </c>
      <c r="C15" s="50" t="s">
        <v>146</v>
      </c>
      <c r="D15" s="7" t="s">
        <v>147</v>
      </c>
      <c r="E15" s="7" t="s">
        <v>30</v>
      </c>
      <c r="F15" s="7" t="s">
        <v>15</v>
      </c>
      <c r="G15" s="7" t="s">
        <v>13</v>
      </c>
      <c r="H15" s="8">
        <v>985000</v>
      </c>
      <c r="I15" s="10" t="s">
        <v>52</v>
      </c>
      <c r="J15" s="7" t="s">
        <v>92</v>
      </c>
      <c r="K15" s="9">
        <v>45597</v>
      </c>
      <c r="L15" s="9">
        <v>45777</v>
      </c>
      <c r="M15" s="77"/>
      <c r="N15" s="1"/>
      <c r="O15" s="1"/>
      <c r="P15" s="1"/>
      <c r="Q15" s="1"/>
    </row>
    <row r="16" spans="1:17" ht="18" customHeight="1" x14ac:dyDescent="0.5">
      <c r="A16" s="76" t="s">
        <v>31</v>
      </c>
      <c r="B16" s="48" t="s">
        <v>32</v>
      </c>
      <c r="C16" s="50"/>
      <c r="D16" s="7"/>
      <c r="E16" s="7" t="s">
        <v>33</v>
      </c>
      <c r="F16" s="7" t="s">
        <v>12</v>
      </c>
      <c r="G16" s="7" t="s">
        <v>13</v>
      </c>
      <c r="H16" s="8">
        <v>8016400</v>
      </c>
      <c r="I16" s="7" t="s">
        <v>99</v>
      </c>
      <c r="J16" s="7" t="s">
        <v>93</v>
      </c>
      <c r="K16" s="9">
        <v>45894</v>
      </c>
      <c r="L16" s="9">
        <v>46652</v>
      </c>
      <c r="M16" s="77"/>
      <c r="N16" s="1"/>
      <c r="O16" s="1"/>
      <c r="P16" s="1"/>
      <c r="Q16" s="1"/>
    </row>
    <row r="17" spans="1:17" ht="18" customHeight="1" x14ac:dyDescent="0.5">
      <c r="A17" s="76" t="s">
        <v>34</v>
      </c>
      <c r="B17" s="48" t="s">
        <v>35</v>
      </c>
      <c r="C17" s="50"/>
      <c r="D17" s="7"/>
      <c r="E17" s="7" t="s">
        <v>25</v>
      </c>
      <c r="F17" s="7" t="s">
        <v>36</v>
      </c>
      <c r="G17" s="7" t="s">
        <v>42</v>
      </c>
      <c r="H17" s="8">
        <v>1676000</v>
      </c>
      <c r="I17" s="7" t="s">
        <v>104</v>
      </c>
      <c r="J17" s="7" t="s">
        <v>90</v>
      </c>
      <c r="K17" s="9">
        <v>45689</v>
      </c>
      <c r="L17" s="9">
        <v>46113</v>
      </c>
      <c r="M17" s="77"/>
      <c r="N17" s="1"/>
      <c r="O17" s="1"/>
      <c r="P17" s="1"/>
      <c r="Q17" s="1"/>
    </row>
    <row r="18" spans="1:17" ht="18" customHeight="1" x14ac:dyDescent="0.5">
      <c r="A18" s="76" t="s">
        <v>37</v>
      </c>
      <c r="B18" s="48" t="s">
        <v>35</v>
      </c>
      <c r="C18" s="50"/>
      <c r="D18" s="7"/>
      <c r="E18" s="7" t="s">
        <v>25</v>
      </c>
      <c r="F18" s="7" t="s">
        <v>38</v>
      </c>
      <c r="G18" s="7" t="s">
        <v>42</v>
      </c>
      <c r="H18" s="11">
        <v>3467000</v>
      </c>
      <c r="I18" s="7" t="s">
        <v>105</v>
      </c>
      <c r="J18" s="7" t="s">
        <v>90</v>
      </c>
      <c r="K18" s="9">
        <v>45689</v>
      </c>
      <c r="L18" s="9">
        <v>46082</v>
      </c>
      <c r="M18" s="77"/>
      <c r="N18" s="1"/>
      <c r="O18" s="1"/>
      <c r="P18" s="1"/>
      <c r="Q18" s="1"/>
    </row>
    <row r="19" spans="1:17" ht="18" customHeight="1" x14ac:dyDescent="0.5">
      <c r="A19" s="76" t="s">
        <v>124</v>
      </c>
      <c r="B19" s="48" t="s">
        <v>125</v>
      </c>
      <c r="C19" s="50"/>
      <c r="D19" s="7"/>
      <c r="E19" s="7" t="s">
        <v>11</v>
      </c>
      <c r="F19" s="7" t="s">
        <v>50</v>
      </c>
      <c r="G19" s="7" t="s">
        <v>13</v>
      </c>
      <c r="H19" s="11">
        <v>36249549</v>
      </c>
      <c r="I19" s="7" t="s">
        <v>98</v>
      </c>
      <c r="J19" s="7" t="s">
        <v>129</v>
      </c>
      <c r="K19" s="9">
        <v>44256</v>
      </c>
      <c r="L19" s="9">
        <f>+K19+90</f>
        <v>44346</v>
      </c>
      <c r="M19" s="77"/>
      <c r="N19" s="1"/>
      <c r="O19" s="1"/>
      <c r="P19" s="1"/>
      <c r="Q19" s="1"/>
    </row>
    <row r="20" spans="1:17" ht="18" customHeight="1" x14ac:dyDescent="0.5">
      <c r="A20" s="76" t="s">
        <v>39</v>
      </c>
      <c r="B20" s="48" t="s">
        <v>40</v>
      </c>
      <c r="C20" s="50"/>
      <c r="D20" s="7"/>
      <c r="E20" s="7" t="s">
        <v>11</v>
      </c>
      <c r="F20" s="7" t="s">
        <v>41</v>
      </c>
      <c r="G20" s="7" t="s">
        <v>42</v>
      </c>
      <c r="H20" s="11">
        <v>2358333</v>
      </c>
      <c r="I20" s="7" t="s">
        <v>58</v>
      </c>
      <c r="J20" s="7" t="s">
        <v>90</v>
      </c>
      <c r="K20" s="9">
        <v>45413</v>
      </c>
      <c r="L20" s="9">
        <v>46143</v>
      </c>
      <c r="M20" s="77"/>
      <c r="N20" s="1"/>
      <c r="O20" s="1"/>
      <c r="P20" s="1"/>
      <c r="Q20" s="1"/>
    </row>
    <row r="21" spans="1:17" ht="18" customHeight="1" thickBot="1" x14ac:dyDescent="0.55000000000000004">
      <c r="A21" s="79" t="s">
        <v>49</v>
      </c>
      <c r="B21" s="49" t="s">
        <v>35</v>
      </c>
      <c r="C21" s="52"/>
      <c r="D21" s="12"/>
      <c r="E21" s="12" t="s">
        <v>11</v>
      </c>
      <c r="F21" s="12" t="s">
        <v>50</v>
      </c>
      <c r="G21" s="12" t="s">
        <v>70</v>
      </c>
      <c r="H21" s="11">
        <v>3266300</v>
      </c>
      <c r="I21" s="12" t="s">
        <v>103</v>
      </c>
      <c r="J21" s="12" t="s">
        <v>129</v>
      </c>
      <c r="K21" s="57">
        <v>45930</v>
      </c>
      <c r="L21" s="58">
        <v>46113</v>
      </c>
      <c r="M21" s="80"/>
      <c r="N21" s="1"/>
      <c r="O21" s="1"/>
      <c r="P21" s="1"/>
      <c r="Q21" s="1"/>
    </row>
    <row r="22" spans="1:17" ht="18" customHeight="1" thickBot="1" x14ac:dyDescent="0.55000000000000004">
      <c r="A22" s="13"/>
      <c r="B22" s="14"/>
      <c r="C22" s="15"/>
      <c r="D22" s="14"/>
      <c r="E22" s="14"/>
      <c r="F22" s="14"/>
      <c r="G22" s="16"/>
      <c r="H22" s="17">
        <f>SUM(H4:H21)</f>
        <v>124442972.78116001</v>
      </c>
      <c r="I22" s="56"/>
      <c r="J22" s="14"/>
      <c r="K22" s="59"/>
      <c r="L22" s="62"/>
      <c r="M22" s="75"/>
      <c r="N22" s="1"/>
      <c r="O22" s="1"/>
      <c r="P22" s="1"/>
      <c r="Q22" s="1"/>
    </row>
    <row r="23" spans="1:17" ht="18" customHeight="1" thickBot="1" x14ac:dyDescent="0.55000000000000004">
      <c r="A23" s="87" t="s">
        <v>127</v>
      </c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9"/>
      <c r="M23" s="63"/>
      <c r="N23" s="1"/>
      <c r="O23" s="1"/>
      <c r="P23" s="1"/>
      <c r="Q23" s="1"/>
    </row>
    <row r="24" spans="1:17" ht="18" customHeight="1" x14ac:dyDescent="0.5">
      <c r="A24" s="81" t="s">
        <v>43</v>
      </c>
      <c r="B24" s="64" t="s">
        <v>44</v>
      </c>
      <c r="C24" s="65"/>
      <c r="D24" s="66"/>
      <c r="E24" s="66" t="s">
        <v>95</v>
      </c>
      <c r="F24" s="66" t="s">
        <v>41</v>
      </c>
      <c r="G24" s="66" t="s">
        <v>13</v>
      </c>
      <c r="H24" s="67">
        <v>1784900</v>
      </c>
      <c r="I24" s="66" t="s">
        <v>106</v>
      </c>
      <c r="J24" s="66" t="s">
        <v>97</v>
      </c>
      <c r="K24" s="68">
        <v>45200</v>
      </c>
      <c r="L24" s="68">
        <v>45627</v>
      </c>
      <c r="M24" s="82"/>
      <c r="N24" s="1"/>
      <c r="O24" s="1"/>
      <c r="P24" s="1"/>
      <c r="Q24" s="1"/>
    </row>
    <row r="25" spans="1:17" ht="18" customHeight="1" x14ac:dyDescent="0.5">
      <c r="A25" s="46" t="s">
        <v>100</v>
      </c>
      <c r="B25" s="43" t="s">
        <v>94</v>
      </c>
      <c r="C25" s="54" t="s">
        <v>132</v>
      </c>
      <c r="D25" s="18"/>
      <c r="E25" s="18" t="s">
        <v>11</v>
      </c>
      <c r="F25" s="18" t="s">
        <v>96</v>
      </c>
      <c r="G25" s="18" t="s">
        <v>70</v>
      </c>
      <c r="H25" s="19">
        <v>2608000</v>
      </c>
      <c r="I25" s="19" t="s">
        <v>109</v>
      </c>
      <c r="J25" s="19" t="s">
        <v>97</v>
      </c>
      <c r="K25" s="20">
        <v>45201</v>
      </c>
      <c r="L25" s="20">
        <v>45658</v>
      </c>
      <c r="M25" s="83"/>
      <c r="N25" s="1"/>
      <c r="O25" s="1"/>
      <c r="P25" s="1"/>
      <c r="Q25" s="1"/>
    </row>
    <row r="26" spans="1:17" ht="18" customHeight="1" x14ac:dyDescent="0.5">
      <c r="A26" s="46" t="s">
        <v>45</v>
      </c>
      <c r="B26" s="43" t="s">
        <v>46</v>
      </c>
      <c r="C26" s="54"/>
      <c r="D26" s="18"/>
      <c r="E26" s="18" t="s">
        <v>11</v>
      </c>
      <c r="F26" s="18" t="s">
        <v>47</v>
      </c>
      <c r="G26" s="18" t="s">
        <v>13</v>
      </c>
      <c r="H26" s="19">
        <v>3953012</v>
      </c>
      <c r="I26" s="18" t="s">
        <v>103</v>
      </c>
      <c r="J26" s="18" t="s">
        <v>101</v>
      </c>
      <c r="K26" s="20">
        <v>45323</v>
      </c>
      <c r="L26" s="20">
        <v>45505</v>
      </c>
      <c r="M26" s="83"/>
      <c r="N26" s="1"/>
      <c r="O26" s="1"/>
      <c r="P26" s="1"/>
      <c r="Q26" s="1"/>
    </row>
    <row r="27" spans="1:17" ht="18" customHeight="1" thickBot="1" x14ac:dyDescent="0.55000000000000004">
      <c r="A27" s="84" t="s">
        <v>48</v>
      </c>
      <c r="B27" s="69" t="s">
        <v>46</v>
      </c>
      <c r="C27" s="70"/>
      <c r="D27" s="60"/>
      <c r="E27" s="60" t="s">
        <v>11</v>
      </c>
      <c r="F27" s="60" t="s">
        <v>47</v>
      </c>
      <c r="G27" s="60" t="s">
        <v>13</v>
      </c>
      <c r="H27" s="71">
        <v>7915590</v>
      </c>
      <c r="I27" s="60" t="s">
        <v>57</v>
      </c>
      <c r="J27" s="60" t="s">
        <v>102</v>
      </c>
      <c r="K27" s="61">
        <v>45536</v>
      </c>
      <c r="L27" s="61">
        <v>45689</v>
      </c>
      <c r="M27" s="85"/>
      <c r="N27" s="1"/>
      <c r="O27" s="1"/>
      <c r="P27" s="1"/>
      <c r="Q27" s="1"/>
    </row>
    <row r="28" spans="1:17" ht="18" customHeight="1" thickBot="1" x14ac:dyDescent="0.55000000000000004">
      <c r="A28" s="72"/>
      <c r="B28" s="73"/>
      <c r="C28" s="74"/>
      <c r="D28" s="73"/>
      <c r="E28" s="73" t="s">
        <v>131</v>
      </c>
      <c r="F28" s="73"/>
      <c r="G28" s="73"/>
      <c r="H28" s="17">
        <f>SUM(H24:H27)</f>
        <v>16261502</v>
      </c>
      <c r="I28" s="56"/>
      <c r="J28" s="14"/>
      <c r="K28" s="59"/>
      <c r="L28" s="62"/>
      <c r="M28" s="75"/>
      <c r="N28" s="1"/>
      <c r="O28" s="1"/>
      <c r="P28" s="1"/>
      <c r="Q28" s="1"/>
    </row>
    <row r="29" spans="1:17" ht="18" customHeight="1" thickBot="1" x14ac:dyDescent="0.55000000000000004">
      <c r="A29" s="87" t="s">
        <v>128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63"/>
      <c r="N29" s="1"/>
      <c r="O29" s="1"/>
      <c r="P29" s="1"/>
      <c r="Q29" s="1"/>
    </row>
    <row r="30" spans="1:17" ht="18" customHeight="1" x14ac:dyDescent="0.5">
      <c r="A30" s="45" t="s">
        <v>51</v>
      </c>
      <c r="B30" s="42" t="s">
        <v>88</v>
      </c>
      <c r="C30" s="53"/>
      <c r="D30" s="21"/>
      <c r="E30" s="21" t="s">
        <v>11</v>
      </c>
      <c r="F30" s="42" t="s">
        <v>41</v>
      </c>
      <c r="G30" s="21" t="s">
        <v>115</v>
      </c>
      <c r="H30" s="22">
        <v>13573000</v>
      </c>
      <c r="I30" s="21"/>
      <c r="J30" s="21"/>
      <c r="K30" s="21"/>
      <c r="L30" s="23"/>
      <c r="M30" s="82"/>
      <c r="N30" s="1"/>
      <c r="O30" s="1"/>
      <c r="P30" s="1"/>
      <c r="Q30" s="1"/>
    </row>
    <row r="31" spans="1:17" ht="18" customHeight="1" x14ac:dyDescent="0.5">
      <c r="A31" s="46" t="s">
        <v>80</v>
      </c>
      <c r="B31" s="43" t="s">
        <v>10</v>
      </c>
      <c r="C31" s="54"/>
      <c r="D31" s="18"/>
      <c r="E31" s="18" t="s">
        <v>68</v>
      </c>
      <c r="F31" s="43" t="s">
        <v>41</v>
      </c>
      <c r="G31" s="18" t="s">
        <v>67</v>
      </c>
      <c r="H31" s="24">
        <v>23425855.740000002</v>
      </c>
      <c r="I31" s="18" t="s">
        <v>110</v>
      </c>
      <c r="J31" s="18" t="s">
        <v>114</v>
      </c>
      <c r="K31" s="18"/>
      <c r="L31" s="25"/>
      <c r="M31" s="83"/>
      <c r="N31" s="1"/>
      <c r="O31" s="1"/>
      <c r="P31" s="1"/>
      <c r="Q31" s="1"/>
    </row>
    <row r="32" spans="1:17" ht="18" customHeight="1" x14ac:dyDescent="0.5">
      <c r="A32" s="46" t="s">
        <v>81</v>
      </c>
      <c r="B32" s="43" t="s">
        <v>35</v>
      </c>
      <c r="C32" s="54"/>
      <c r="D32" s="18"/>
      <c r="E32" s="18" t="s">
        <v>11</v>
      </c>
      <c r="F32" s="43" t="s">
        <v>41</v>
      </c>
      <c r="G32" s="18" t="s">
        <v>69</v>
      </c>
      <c r="H32" s="24">
        <v>4753600</v>
      </c>
      <c r="I32" s="18" t="s">
        <v>112</v>
      </c>
      <c r="J32" s="18" t="s">
        <v>114</v>
      </c>
      <c r="K32" s="20">
        <v>46023</v>
      </c>
      <c r="L32" s="26">
        <v>46661</v>
      </c>
      <c r="M32" s="83"/>
      <c r="N32" s="1"/>
      <c r="O32" s="1"/>
      <c r="P32" s="1"/>
      <c r="Q32" s="1"/>
    </row>
    <row r="33" spans="1:17" ht="18" customHeight="1" x14ac:dyDescent="0.5">
      <c r="A33" s="46" t="s">
        <v>82</v>
      </c>
      <c r="B33" s="43" t="s">
        <v>10</v>
      </c>
      <c r="C33" s="54"/>
      <c r="D33" s="18"/>
      <c r="E33" s="18" t="s">
        <v>11</v>
      </c>
      <c r="F33" s="43" t="s">
        <v>41</v>
      </c>
      <c r="G33" s="18" t="s">
        <v>67</v>
      </c>
      <c r="H33" s="24">
        <v>11895097</v>
      </c>
      <c r="I33" s="18" t="s">
        <v>113</v>
      </c>
      <c r="J33" s="18" t="s">
        <v>114</v>
      </c>
      <c r="K33" s="20">
        <v>46082</v>
      </c>
      <c r="L33" s="26">
        <v>47543</v>
      </c>
      <c r="M33" s="83"/>
      <c r="N33" s="1"/>
      <c r="O33" s="1"/>
      <c r="P33" s="1"/>
      <c r="Q33" s="1"/>
    </row>
    <row r="34" spans="1:17" ht="18" customHeight="1" x14ac:dyDescent="0.5">
      <c r="A34" s="46" t="s">
        <v>83</v>
      </c>
      <c r="B34" s="43" t="s">
        <v>76</v>
      </c>
      <c r="C34" s="54"/>
      <c r="D34" s="18"/>
      <c r="E34" s="18" t="s">
        <v>11</v>
      </c>
      <c r="F34" s="43" t="s">
        <v>41</v>
      </c>
      <c r="G34" s="18" t="s">
        <v>69</v>
      </c>
      <c r="H34" s="24">
        <v>13149500</v>
      </c>
      <c r="I34" s="18" t="s">
        <v>111</v>
      </c>
      <c r="J34" s="18" t="s">
        <v>114</v>
      </c>
      <c r="K34" s="20">
        <v>46023</v>
      </c>
      <c r="L34" s="26">
        <v>46844</v>
      </c>
      <c r="M34" s="83"/>
      <c r="N34" s="1"/>
      <c r="O34" s="1"/>
      <c r="P34" s="1"/>
      <c r="Q34" s="1"/>
    </row>
    <row r="35" spans="1:17" ht="18" customHeight="1" x14ac:dyDescent="0.5">
      <c r="A35" s="46" t="s">
        <v>62</v>
      </c>
      <c r="B35" s="43" t="s">
        <v>77</v>
      </c>
      <c r="C35" s="54"/>
      <c r="D35" s="18"/>
      <c r="E35" s="18" t="s">
        <v>11</v>
      </c>
      <c r="F35" s="43" t="s">
        <v>41</v>
      </c>
      <c r="G35" s="18" t="s">
        <v>70</v>
      </c>
      <c r="H35" s="24">
        <v>4966200</v>
      </c>
      <c r="I35" s="18" t="s">
        <v>107</v>
      </c>
      <c r="J35" s="18" t="s">
        <v>121</v>
      </c>
      <c r="K35" s="20">
        <v>46357</v>
      </c>
      <c r="L35" s="26">
        <v>46753</v>
      </c>
      <c r="M35" s="83"/>
      <c r="N35" s="1"/>
      <c r="O35" s="1"/>
      <c r="P35" s="1"/>
      <c r="Q35" s="1"/>
    </row>
    <row r="36" spans="1:17" ht="18" customHeight="1" x14ac:dyDescent="0.5">
      <c r="A36" s="46" t="s">
        <v>63</v>
      </c>
      <c r="B36" s="43" t="s">
        <v>77</v>
      </c>
      <c r="C36" s="54"/>
      <c r="D36" s="18"/>
      <c r="E36" s="18" t="s">
        <v>11</v>
      </c>
      <c r="F36" s="43" t="s">
        <v>41</v>
      </c>
      <c r="G36" s="18" t="s">
        <v>70</v>
      </c>
      <c r="H36" s="24">
        <v>5514456</v>
      </c>
      <c r="I36" s="18" t="s">
        <v>108</v>
      </c>
      <c r="J36" s="18" t="s">
        <v>116</v>
      </c>
      <c r="K36" s="18" t="s">
        <v>150</v>
      </c>
      <c r="L36" s="25" t="s">
        <v>150</v>
      </c>
      <c r="M36" s="83"/>
      <c r="N36" s="1"/>
      <c r="O36" s="1"/>
      <c r="P36" s="1"/>
      <c r="Q36" s="1"/>
    </row>
    <row r="37" spans="1:17" ht="18" customHeight="1" x14ac:dyDescent="0.5">
      <c r="A37" s="46" t="s">
        <v>84</v>
      </c>
      <c r="B37" s="43" t="s">
        <v>78</v>
      </c>
      <c r="C37" s="54"/>
      <c r="D37" s="18"/>
      <c r="E37" s="18" t="s">
        <v>11</v>
      </c>
      <c r="F37" s="43" t="s">
        <v>41</v>
      </c>
      <c r="G37" s="18" t="s">
        <v>67</v>
      </c>
      <c r="H37" s="24">
        <v>8002900</v>
      </c>
      <c r="I37" s="18" t="s">
        <v>110</v>
      </c>
      <c r="J37" s="18" t="s">
        <v>114</v>
      </c>
      <c r="K37" s="18" t="s">
        <v>150</v>
      </c>
      <c r="L37" s="25" t="s">
        <v>150</v>
      </c>
      <c r="M37" s="83"/>
      <c r="N37" s="1"/>
      <c r="O37" s="1"/>
      <c r="P37" s="1"/>
      <c r="Q37" s="1"/>
    </row>
    <row r="38" spans="1:17" ht="18" customHeight="1" x14ac:dyDescent="0.5">
      <c r="A38" s="46" t="s">
        <v>64</v>
      </c>
      <c r="B38" s="43" t="s">
        <v>89</v>
      </c>
      <c r="C38" s="54"/>
      <c r="D38" s="18"/>
      <c r="E38" s="18" t="s">
        <v>11</v>
      </c>
      <c r="F38" s="43" t="s">
        <v>71</v>
      </c>
      <c r="G38" s="18" t="s">
        <v>67</v>
      </c>
      <c r="H38" s="24">
        <v>540000</v>
      </c>
      <c r="I38" s="18"/>
      <c r="J38" s="18" t="s">
        <v>91</v>
      </c>
      <c r="K38" s="18" t="s">
        <v>150</v>
      </c>
      <c r="L38" s="25" t="s">
        <v>150</v>
      </c>
      <c r="M38" s="83"/>
      <c r="N38" s="1"/>
      <c r="O38" s="1"/>
      <c r="P38" s="1"/>
      <c r="Q38" s="1"/>
    </row>
    <row r="39" spans="1:17" ht="18" customHeight="1" x14ac:dyDescent="0.5">
      <c r="A39" s="46" t="s">
        <v>123</v>
      </c>
      <c r="B39" s="43" t="s">
        <v>79</v>
      </c>
      <c r="C39" s="54"/>
      <c r="D39" s="18"/>
      <c r="E39" s="18" t="s">
        <v>11</v>
      </c>
      <c r="F39" s="43" t="s">
        <v>72</v>
      </c>
      <c r="G39" s="18" t="s">
        <v>67</v>
      </c>
      <c r="H39" s="24">
        <v>4298000</v>
      </c>
      <c r="I39" s="18" t="s">
        <v>122</v>
      </c>
      <c r="J39" s="18" t="s">
        <v>114</v>
      </c>
      <c r="K39" s="18" t="s">
        <v>150</v>
      </c>
      <c r="L39" s="25" t="s">
        <v>150</v>
      </c>
      <c r="M39" s="83"/>
      <c r="N39" s="1"/>
      <c r="O39" s="1"/>
      <c r="P39" s="1"/>
      <c r="Q39" s="1"/>
    </row>
    <row r="40" spans="1:17" ht="18" customHeight="1" x14ac:dyDescent="0.5">
      <c r="A40" s="46" t="s">
        <v>65</v>
      </c>
      <c r="B40" s="43" t="s">
        <v>77</v>
      </c>
      <c r="C40" s="54"/>
      <c r="D40" s="18"/>
      <c r="E40" s="18" t="s">
        <v>11</v>
      </c>
      <c r="F40" s="43" t="s">
        <v>41</v>
      </c>
      <c r="G40" s="18" t="s">
        <v>70</v>
      </c>
      <c r="H40" s="24">
        <v>6457665.5</v>
      </c>
      <c r="I40" s="18" t="s">
        <v>109</v>
      </c>
      <c r="J40" s="18" t="s">
        <v>114</v>
      </c>
      <c r="K40" s="18" t="s">
        <v>150</v>
      </c>
      <c r="L40" s="25" t="s">
        <v>150</v>
      </c>
      <c r="M40" s="83"/>
      <c r="N40" s="1"/>
      <c r="O40" s="1"/>
      <c r="P40" s="1"/>
      <c r="Q40" s="1"/>
    </row>
    <row r="41" spans="1:17" ht="18" customHeight="1" x14ac:dyDescent="0.5">
      <c r="A41" s="46" t="s">
        <v>66</v>
      </c>
      <c r="B41" s="43" t="s">
        <v>10</v>
      </c>
      <c r="C41" s="54"/>
      <c r="D41" s="18"/>
      <c r="E41" s="18" t="s">
        <v>11</v>
      </c>
      <c r="F41" s="43" t="s">
        <v>73</v>
      </c>
      <c r="G41" s="18" t="s">
        <v>67</v>
      </c>
      <c r="H41" s="24">
        <v>15209806</v>
      </c>
      <c r="I41" s="18" t="s">
        <v>110</v>
      </c>
      <c r="J41" s="18" t="s">
        <v>114</v>
      </c>
      <c r="K41" s="20">
        <v>45748</v>
      </c>
      <c r="L41" s="25" t="s">
        <v>150</v>
      </c>
      <c r="M41" s="83"/>
      <c r="N41" s="1"/>
      <c r="O41" s="1"/>
      <c r="P41" s="1"/>
      <c r="Q41" s="1"/>
    </row>
    <row r="42" spans="1:17" ht="18" customHeight="1" x14ac:dyDescent="0.5">
      <c r="A42" s="46" t="s">
        <v>85</v>
      </c>
      <c r="B42" s="43" t="s">
        <v>32</v>
      </c>
      <c r="C42" s="54"/>
      <c r="D42" s="18"/>
      <c r="E42" s="18" t="s">
        <v>11</v>
      </c>
      <c r="F42" s="43" t="s">
        <v>74</v>
      </c>
      <c r="G42" s="18" t="s">
        <v>67</v>
      </c>
      <c r="H42" s="24">
        <v>1018970</v>
      </c>
      <c r="I42" s="18" t="s">
        <v>59</v>
      </c>
      <c r="J42" s="18" t="s">
        <v>114</v>
      </c>
      <c r="K42" s="18" t="s">
        <v>150</v>
      </c>
      <c r="L42" s="25" t="s">
        <v>150</v>
      </c>
      <c r="M42" s="83"/>
      <c r="N42" s="1"/>
      <c r="O42" s="1"/>
      <c r="P42" s="1"/>
      <c r="Q42" s="1"/>
    </row>
    <row r="43" spans="1:17" ht="18" customHeight="1" x14ac:dyDescent="0.5">
      <c r="A43" s="46" t="s">
        <v>86</v>
      </c>
      <c r="B43" s="43" t="s">
        <v>79</v>
      </c>
      <c r="C43" s="54"/>
      <c r="D43" s="18"/>
      <c r="E43" s="18" t="s">
        <v>11</v>
      </c>
      <c r="F43" s="43" t="s">
        <v>75</v>
      </c>
      <c r="G43" s="18" t="s">
        <v>67</v>
      </c>
      <c r="H43" s="24">
        <v>21424000</v>
      </c>
      <c r="I43" s="18" t="s">
        <v>120</v>
      </c>
      <c r="J43" s="18" t="s">
        <v>114</v>
      </c>
      <c r="K43" s="18" t="s">
        <v>150</v>
      </c>
      <c r="L43" s="25" t="s">
        <v>150</v>
      </c>
      <c r="M43" s="83"/>
      <c r="N43" s="1"/>
      <c r="O43" s="1"/>
      <c r="P43" s="1"/>
      <c r="Q43" s="1"/>
    </row>
    <row r="44" spans="1:17" ht="18" customHeight="1" x14ac:dyDescent="0.5">
      <c r="A44" s="46" t="s">
        <v>87</v>
      </c>
      <c r="B44" s="43" t="s">
        <v>76</v>
      </c>
      <c r="C44" s="54"/>
      <c r="D44" s="18"/>
      <c r="E44" s="18" t="s">
        <v>11</v>
      </c>
      <c r="F44" s="43" t="s">
        <v>50</v>
      </c>
      <c r="G44" s="18" t="s">
        <v>67</v>
      </c>
      <c r="H44" s="24">
        <v>5500000</v>
      </c>
      <c r="I44" s="18" t="s">
        <v>109</v>
      </c>
      <c r="J44" s="18" t="s">
        <v>91</v>
      </c>
      <c r="K44" s="18" t="s">
        <v>150</v>
      </c>
      <c r="L44" s="25" t="s">
        <v>150</v>
      </c>
      <c r="M44" s="83"/>
      <c r="N44" s="1"/>
      <c r="O44" s="1"/>
      <c r="P44" s="1"/>
      <c r="Q44" s="1"/>
    </row>
    <row r="45" spans="1:17" ht="18" customHeight="1" thickBot="1" x14ac:dyDescent="0.55000000000000004">
      <c r="A45" s="47" t="s">
        <v>117</v>
      </c>
      <c r="B45" s="44" t="s">
        <v>118</v>
      </c>
      <c r="C45" s="55"/>
      <c r="D45" s="27"/>
      <c r="E45" s="27" t="s">
        <v>11</v>
      </c>
      <c r="F45" s="44" t="s">
        <v>119</v>
      </c>
      <c r="G45" s="27" t="s">
        <v>13</v>
      </c>
      <c r="H45" s="28">
        <v>3646000</v>
      </c>
      <c r="I45" s="27" t="s">
        <v>103</v>
      </c>
      <c r="J45" s="27" t="s">
        <v>116</v>
      </c>
      <c r="K45" s="27" t="s">
        <v>150</v>
      </c>
      <c r="L45" s="29" t="s">
        <v>150</v>
      </c>
      <c r="M45" s="86"/>
      <c r="N45" s="1"/>
      <c r="O45" s="1"/>
      <c r="P45" s="1"/>
      <c r="Q45" s="1"/>
    </row>
    <row r="46" spans="1:17" ht="22.35" customHeight="1" thickBot="1" x14ac:dyDescent="0.55000000000000004">
      <c r="A46" s="30"/>
      <c r="B46" s="31"/>
      <c r="C46" s="32"/>
      <c r="D46" s="31"/>
      <c r="E46" s="31"/>
      <c r="F46" s="33"/>
      <c r="G46" s="34"/>
      <c r="H46" s="35">
        <f>SUM(H30:H45)</f>
        <v>143375050.24000001</v>
      </c>
      <c r="I46" s="56"/>
      <c r="J46" s="14"/>
      <c r="K46" s="59"/>
      <c r="L46" s="62"/>
      <c r="M46" s="75"/>
      <c r="N46" s="1"/>
      <c r="O46" s="1"/>
      <c r="P46" s="1"/>
      <c r="Q46" s="1"/>
    </row>
    <row r="47" spans="1:17" ht="22.35" customHeight="1" x14ac:dyDescent="0.5">
      <c r="A47" s="37"/>
      <c r="B47" s="36"/>
      <c r="C47" s="38"/>
      <c r="D47" s="36"/>
      <c r="E47" s="36"/>
      <c r="F47" s="37"/>
      <c r="G47" s="36"/>
      <c r="H47" s="36"/>
      <c r="I47" s="36"/>
      <c r="J47" s="36"/>
      <c r="K47" s="36"/>
      <c r="L47" s="36"/>
      <c r="M47" s="1"/>
      <c r="N47" s="1"/>
      <c r="O47" s="1"/>
      <c r="P47" s="1"/>
      <c r="Q47" s="1"/>
    </row>
    <row r="48" spans="1:17" ht="22.35" customHeight="1" x14ac:dyDescent="0.5"/>
    <row r="49" ht="22.35" customHeight="1" x14ac:dyDescent="0.5"/>
    <row r="50" ht="22.35" customHeight="1" x14ac:dyDescent="0.5"/>
  </sheetData>
  <mergeCells count="4">
    <mergeCell ref="A23:L23"/>
    <mergeCell ref="A29:L29"/>
    <mergeCell ref="A1:M1"/>
    <mergeCell ref="A3:L3"/>
  </mergeCells>
  <phoneticPr fontId="1" type="noConversion"/>
  <pageMargins left="0.25" right="0.25" top="0.75" bottom="0.75" header="0.3" footer="0.3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Khalil</dc:creator>
  <cp:lastModifiedBy>Mohammed Khalil</cp:lastModifiedBy>
  <cp:lastPrinted>2025-11-25T07:13:41Z</cp:lastPrinted>
  <dcterms:created xsi:type="dcterms:W3CDTF">2025-11-20T09:06:47Z</dcterms:created>
  <dcterms:modified xsi:type="dcterms:W3CDTF">2026-01-19T03:57:00Z</dcterms:modified>
</cp:coreProperties>
</file>